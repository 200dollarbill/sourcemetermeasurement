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itial" sheetId="1" r:id="rId5"/>
    <sheet state="visible" name="Revised" sheetId="2" r:id="rId6"/>
  </sheets>
  <definedNames/>
  <calcPr/>
</workbook>
</file>

<file path=xl/sharedStrings.xml><?xml version="1.0" encoding="utf-8"?>
<sst xmlns="http://schemas.openxmlformats.org/spreadsheetml/2006/main" count="490" uniqueCount="171">
  <si>
    <t>MR Ratio ((MaxResistance-MinResistance)*100/MinResistance)</t>
  </si>
  <si>
    <t>Sensitivity ((MaxResistance -MinResistance) / (MaxMagneticField - MinMagneticfield))</t>
  </si>
  <si>
    <t>Block 3</t>
  </si>
  <si>
    <t>Block 4</t>
  </si>
  <si>
    <t>Block 5</t>
  </si>
  <si>
    <t>Block 6</t>
  </si>
  <si>
    <t>1.83%</t>
  </si>
  <si>
    <t xml:space="preserve">3.6016% </t>
  </si>
  <si>
    <t>12.3%</t>
  </si>
  <si>
    <t>18.119%</t>
  </si>
  <si>
    <t>6.245 Ω/G</t>
  </si>
  <si>
    <t>13.56 Ω/G</t>
  </si>
  <si>
    <t>70.42 Ω/G</t>
  </si>
  <si>
    <t>81.63 Ω/G</t>
  </si>
  <si>
    <t>1.865%</t>
  </si>
  <si>
    <t>4.23%</t>
  </si>
  <si>
    <t>14.28%</t>
  </si>
  <si>
    <t>21.10%</t>
  </si>
  <si>
    <t>6.4283 Ω/G</t>
  </si>
  <si>
    <t>17.172 Ω/G</t>
  </si>
  <si>
    <t>89.195 Ω/G</t>
  </si>
  <si>
    <t>103.142 Ω/G</t>
  </si>
  <si>
    <t>2.92%</t>
  </si>
  <si>
    <t>5.89%</t>
  </si>
  <si>
    <t>12.31%</t>
  </si>
  <si>
    <t>20.51%</t>
  </si>
  <si>
    <t>12.1142 Ω/G</t>
  </si>
  <si>
    <t>20.117 Ω/G</t>
  </si>
  <si>
    <t>76.68 Ω/G</t>
  </si>
  <si>
    <t>101.093 Ω/G</t>
  </si>
  <si>
    <t>2.64%</t>
  </si>
  <si>
    <t>4.60%</t>
  </si>
  <si>
    <t>13.46%</t>
  </si>
  <si>
    <t>21.15%</t>
  </si>
  <si>
    <t>11.0075 Ω/G</t>
  </si>
  <si>
    <t>28,74 Ω/G</t>
  </si>
  <si>
    <t>88.266 Ω/G</t>
  </si>
  <si>
    <t>105.816 Ω/G</t>
  </si>
  <si>
    <t>5.05%</t>
  </si>
  <si>
    <t>9.18%</t>
  </si>
  <si>
    <t>31.5426 Ω/G</t>
  </si>
  <si>
    <t>62.1887 Ω/G</t>
  </si>
  <si>
    <t>6.01%</t>
  </si>
  <si>
    <t>9.60%</t>
  </si>
  <si>
    <t>40.4081 Ω/G</t>
  </si>
  <si>
    <t>66.713 Ω/G</t>
  </si>
  <si>
    <t>Min Resistance</t>
  </si>
  <si>
    <t>Max Resistance</t>
  </si>
  <si>
    <t>Average</t>
  </si>
  <si>
    <t>Resistance change</t>
  </si>
  <si>
    <t>Max Hys Gap</t>
  </si>
  <si>
    <t>Position</t>
  </si>
  <si>
    <t>Shape</t>
  </si>
  <si>
    <t>35193.44</t>
  </si>
  <si>
    <t>58776.88</t>
  </si>
  <si>
    <t>46264.07</t>
  </si>
  <si>
    <t>Board 3</t>
  </si>
  <si>
    <t>35836.59</t>
  </si>
  <si>
    <t>6.01</t>
  </si>
  <si>
    <t>4.72G</t>
  </si>
  <si>
    <t>Centered</t>
  </si>
  <si>
    <t>6.245</t>
  </si>
  <si>
    <t>35472.29</t>
  </si>
  <si>
    <t>64308.27</t>
  </si>
  <si>
    <t>50316.24</t>
  </si>
  <si>
    <t>36134.05</t>
  </si>
  <si>
    <t>3.79</t>
  </si>
  <si>
    <t>6.4283</t>
  </si>
  <si>
    <t>34.74G</t>
  </si>
  <si>
    <t>Pinched</t>
  </si>
  <si>
    <t>42565.38</t>
  </si>
  <si>
    <t>44945.88</t>
  </si>
  <si>
    <t>Board 5</t>
  </si>
  <si>
    <t>63913.45</t>
  </si>
  <si>
    <t>50558.29</t>
  </si>
  <si>
    <t>12.1142</t>
  </si>
  <si>
    <t>43808.36</t>
  </si>
  <si>
    <t>-0.0606G</t>
  </si>
  <si>
    <t>42836.14</t>
  </si>
  <si>
    <t>50240.54</t>
  </si>
  <si>
    <t>67246.67</t>
  </si>
  <si>
    <t>51323.99</t>
  </si>
  <si>
    <t>11.0075</t>
  </si>
  <si>
    <t>Nominal Resistance</t>
  </si>
  <si>
    <t>43969.31</t>
  </si>
  <si>
    <t>0.1761G</t>
  </si>
  <si>
    <t>64057.6</t>
  </si>
  <si>
    <t>69510.52</t>
  </si>
  <si>
    <t>68999.72</t>
  </si>
  <si>
    <t>71298.82</t>
  </si>
  <si>
    <t>13.56</t>
  </si>
  <si>
    <t>40173.16</t>
  </si>
  <si>
    <t>5.09</t>
  </si>
  <si>
    <t>3.527G</t>
  </si>
  <si>
    <t>17.172</t>
  </si>
  <si>
    <t>43602.31</t>
  </si>
  <si>
    <t>6.88</t>
  </si>
  <si>
    <t>-1.632G</t>
  </si>
  <si>
    <t>47016.63</t>
  </si>
  <si>
    <t>39.38G</t>
  </si>
  <si>
    <t xml:space="preserve">20.117  </t>
  </si>
  <si>
    <t>66008.56</t>
  </si>
  <si>
    <t>54647.08</t>
  </si>
  <si>
    <t>53200.37</t>
  </si>
  <si>
    <t>6.118G</t>
  </si>
  <si>
    <t xml:space="preserve">28,74  </t>
  </si>
  <si>
    <t>73494.38</t>
  </si>
  <si>
    <t>60934.71</t>
  </si>
  <si>
    <t>35505.96</t>
  </si>
  <si>
    <t>62157.52</t>
  </si>
  <si>
    <t>50250.84</t>
  </si>
  <si>
    <t>71781.25</t>
  </si>
  <si>
    <t>60931.05</t>
  </si>
  <si>
    <t xml:space="preserve">35798.85 </t>
  </si>
  <si>
    <t>68585.81</t>
  </si>
  <si>
    <t>55144.17</t>
  </si>
  <si>
    <t>76303.3</t>
  </si>
  <si>
    <t>62181.27</t>
  </si>
  <si>
    <t>43403.36</t>
  </si>
  <si>
    <t>45970.8</t>
  </si>
  <si>
    <t>67628.87</t>
  </si>
  <si>
    <t>55469.48</t>
  </si>
  <si>
    <t>Board 1</t>
  </si>
  <si>
    <t>91.82</t>
  </si>
  <si>
    <t>-51.182G</t>
  </si>
  <si>
    <t xml:space="preserve">70.42  </t>
  </si>
  <si>
    <t>67294.04</t>
  </si>
  <si>
    <t>75891.41</t>
  </si>
  <si>
    <t>43425.87</t>
  </si>
  <si>
    <t>51675.16</t>
  </si>
  <si>
    <t xml:space="preserve">71368.29 </t>
  </si>
  <si>
    <t>56398.7</t>
  </si>
  <si>
    <t>28.72</t>
  </si>
  <si>
    <t>-2.41G</t>
  </si>
  <si>
    <t xml:space="preserve">89.195  </t>
  </si>
  <si>
    <t>73145.8</t>
  </si>
  <si>
    <t>78143.95</t>
  </si>
  <si>
    <t>65652.62</t>
  </si>
  <si>
    <t xml:space="preserve">72601.73 </t>
  </si>
  <si>
    <t>Board 2</t>
  </si>
  <si>
    <t>-4.7G</t>
  </si>
  <si>
    <t xml:space="preserve">76.68  </t>
  </si>
  <si>
    <t xml:space="preserve">71031.7 </t>
  </si>
  <si>
    <t xml:space="preserve"> 74542.27</t>
  </si>
  <si>
    <t>4.55G</t>
  </si>
  <si>
    <t xml:space="preserve">88.266  </t>
  </si>
  <si>
    <t>Board 4</t>
  </si>
  <si>
    <t>2.2284G</t>
  </si>
  <si>
    <t xml:space="preserve">31.5426  </t>
  </si>
  <si>
    <t>9.706G</t>
  </si>
  <si>
    <t xml:space="preserve">40.4081  </t>
  </si>
  <si>
    <t>151.02</t>
  </si>
  <si>
    <t>39.125G</t>
  </si>
  <si>
    <t xml:space="preserve">81.63  </t>
  </si>
  <si>
    <t>125.19</t>
  </si>
  <si>
    <t>41.488G</t>
  </si>
  <si>
    <t xml:space="preserve">103.142  </t>
  </si>
  <si>
    <t>206.34</t>
  </si>
  <si>
    <t>40.12G</t>
  </si>
  <si>
    <t xml:space="preserve">101.093  </t>
  </si>
  <si>
    <t>180.95</t>
  </si>
  <si>
    <t>40.63G</t>
  </si>
  <si>
    <t xml:space="preserve">105.816  </t>
  </si>
  <si>
    <t>13.85</t>
  </si>
  <si>
    <t>1.458G</t>
  </si>
  <si>
    <t xml:space="preserve">62.1887  </t>
  </si>
  <si>
    <t>14.11</t>
  </si>
  <si>
    <t>-0.0927G</t>
  </si>
  <si>
    <t xml:space="preserve">66.713  </t>
  </si>
  <si>
    <t>Max Hys Gap (Ohms)</t>
  </si>
  <si>
    <t>Avg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</si>
</sst>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#,##0.000"/>
    <numFmt numFmtId="165" formatCode="###0.00"/>
    <numFmt numFmtId="166" formatCode="###0.000"/>
  </numFmts>
  <fonts count="5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</font>
    <font>
      <color theme="1"/>
      <name val="Arial"/>
    </font>
    <font>
      <b/>
      <color theme="1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EA9999"/>
        <bgColor rgb="FFEA9999"/>
      </patternFill>
    </fill>
    <fill>
      <patternFill patternType="solid">
        <fgColor rgb="FFD9EAD3"/>
        <bgColor rgb="FFD9EAD3"/>
      </patternFill>
    </fill>
    <fill>
      <patternFill patternType="solid">
        <fgColor rgb="FFD9D2E9"/>
        <bgColor rgb="FFD9D2E9"/>
      </patternFill>
    </fill>
  </fills>
  <borders count="1">
    <border/>
  </borders>
  <cellStyleXfs count="1">
    <xf borderId="0" fillId="0" fontId="0" numFmtId="0" applyAlignment="1" applyFont="1"/>
  </cellStyleXfs>
  <cellXfs count="61">
    <xf borderId="0" fillId="0" fontId="0" numFmtId="0" xfId="0" applyAlignment="1" applyFont="1">
      <alignment readingOrder="0" shrinkToFit="0" vertical="bottom" wrapText="0"/>
    </xf>
    <xf borderId="0" fillId="0" fontId="1" numFmtId="49" xfId="0" applyFont="1" applyNumberFormat="1"/>
    <xf borderId="0" fillId="0" fontId="2" numFmtId="49" xfId="0" applyAlignment="1" applyFont="1" applyNumberFormat="1">
      <alignment horizontal="center" vertical="bottom"/>
    </xf>
    <xf borderId="0" fillId="0" fontId="1" numFmtId="49" xfId="0" applyAlignment="1" applyFont="1" applyNumberFormat="1">
      <alignment horizontal="center" readingOrder="0"/>
    </xf>
    <xf borderId="0" fillId="0" fontId="3" numFmtId="49" xfId="0" applyAlignment="1" applyFont="1" applyNumberFormat="1">
      <alignment vertical="bottom"/>
    </xf>
    <xf borderId="0" fillId="0" fontId="1" numFmtId="49" xfId="0" applyAlignment="1" applyFont="1" applyNumberFormat="1">
      <alignment horizontal="center"/>
    </xf>
    <xf borderId="0" fillId="0" fontId="1" numFmtId="49" xfId="0" applyAlignment="1" applyFont="1" applyNumberFormat="1">
      <alignment readingOrder="0"/>
    </xf>
    <xf borderId="0" fillId="0" fontId="3" numFmtId="49" xfId="0" applyAlignment="1" applyFont="1" applyNumberFormat="1">
      <alignment horizontal="center" vertical="bottom"/>
    </xf>
    <xf borderId="0" fillId="2" fontId="1" numFmtId="49" xfId="0" applyAlignment="1" applyFill="1" applyFont="1" applyNumberFormat="1">
      <alignment horizontal="center" readingOrder="0"/>
    </xf>
    <xf borderId="0" fillId="0" fontId="2" numFmtId="49" xfId="0" applyAlignment="1" applyFont="1" applyNumberFormat="1">
      <alignment vertical="bottom"/>
    </xf>
    <xf borderId="0" fillId="0" fontId="3" numFmtId="0" xfId="0" applyAlignment="1" applyFont="1">
      <alignment vertical="bottom"/>
    </xf>
    <xf borderId="0" fillId="2" fontId="3" numFmtId="10" xfId="0" applyAlignment="1" applyFont="1" applyNumberFormat="1">
      <alignment horizontal="center" vertical="bottom"/>
    </xf>
    <xf borderId="0" fillId="0" fontId="3" numFmtId="10" xfId="0" applyAlignment="1" applyFont="1" applyNumberFormat="1">
      <alignment horizontal="center" vertical="bottom"/>
    </xf>
    <xf borderId="0" fillId="3" fontId="1" numFmtId="49" xfId="0" applyAlignment="1" applyFill="1" applyFont="1" applyNumberFormat="1">
      <alignment horizontal="center" readingOrder="0"/>
    </xf>
    <xf borderId="0" fillId="2" fontId="3" numFmtId="164" xfId="0" applyAlignment="1" applyFont="1" applyNumberFormat="1">
      <alignment horizontal="center" vertical="bottom"/>
    </xf>
    <xf borderId="0" fillId="0" fontId="3" numFmtId="164" xfId="0" applyAlignment="1" applyFont="1" applyNumberFormat="1">
      <alignment horizontal="center" vertical="bottom"/>
    </xf>
    <xf borderId="0" fillId="3" fontId="3" numFmtId="10" xfId="0" applyAlignment="1" applyFont="1" applyNumberFormat="1">
      <alignment horizontal="center" vertical="bottom"/>
    </xf>
    <xf borderId="0" fillId="3" fontId="3" numFmtId="164" xfId="0" applyAlignment="1" applyFont="1" applyNumberFormat="1">
      <alignment horizontal="center" vertical="bottom"/>
    </xf>
    <xf borderId="0" fillId="0" fontId="3" numFmtId="10" xfId="0" applyAlignment="1" applyFont="1" applyNumberFormat="1">
      <alignment vertical="bottom"/>
    </xf>
    <xf borderId="0" fillId="0" fontId="3" numFmtId="164" xfId="0" applyAlignment="1" applyFont="1" applyNumberFormat="1">
      <alignment vertical="bottom"/>
    </xf>
    <xf borderId="0" fillId="0" fontId="4" numFmtId="49" xfId="0" applyAlignment="1" applyFont="1" applyNumberFormat="1">
      <alignment readingOrder="0"/>
    </xf>
    <xf borderId="0" fillId="0" fontId="2" numFmtId="10" xfId="0" applyAlignment="1" applyFont="1" applyNumberFormat="1">
      <alignment horizontal="right" vertical="bottom"/>
    </xf>
    <xf borderId="0" fillId="0" fontId="1" numFmtId="0" xfId="0" applyAlignment="1" applyFont="1">
      <alignment horizontal="center" readingOrder="0"/>
    </xf>
    <xf borderId="0" fillId="0" fontId="2" numFmtId="164" xfId="0" applyAlignment="1" applyFont="1" applyNumberFormat="1">
      <alignment horizontal="center" vertical="bottom"/>
    </xf>
    <xf borderId="0" fillId="2" fontId="1" numFmtId="49" xfId="0" applyFont="1" applyNumberFormat="1"/>
    <xf borderId="0" fillId="2" fontId="4" numFmtId="0" xfId="0" applyAlignment="1" applyFont="1">
      <alignment readingOrder="0"/>
    </xf>
    <xf borderId="0" fillId="0" fontId="4" numFmtId="0" xfId="0" applyAlignment="1" applyFont="1">
      <alignment readingOrder="0"/>
    </xf>
    <xf borderId="0" fillId="4" fontId="1" numFmtId="49" xfId="0" applyAlignment="1" applyFill="1" applyFont="1" applyNumberFormat="1">
      <alignment horizontal="center" readingOrder="0"/>
    </xf>
    <xf borderId="0" fillId="2" fontId="2" numFmtId="49" xfId="0" applyAlignment="1" applyFont="1" applyNumberFormat="1">
      <alignment vertical="bottom"/>
    </xf>
    <xf borderId="0" fillId="4" fontId="1" numFmtId="0" xfId="0" applyAlignment="1" applyFont="1">
      <alignment horizontal="center" readingOrder="0"/>
    </xf>
    <xf borderId="0" fillId="2" fontId="3" numFmtId="165" xfId="0" applyAlignment="1" applyFont="1" applyNumberFormat="1">
      <alignment horizontal="center" vertical="bottom"/>
    </xf>
    <xf borderId="0" fillId="2" fontId="3" numFmtId="49" xfId="0" applyAlignment="1" applyFont="1" applyNumberFormat="1">
      <alignment horizontal="center" vertical="bottom"/>
    </xf>
    <xf borderId="0" fillId="0" fontId="3" numFmtId="165" xfId="0" applyAlignment="1" applyFont="1" applyNumberFormat="1">
      <alignment horizontal="center" vertical="bottom"/>
    </xf>
    <xf borderId="0" fillId="5" fontId="1" numFmtId="49" xfId="0" applyAlignment="1" applyFill="1" applyFont="1" applyNumberFormat="1">
      <alignment horizontal="center" readingOrder="0"/>
    </xf>
    <xf borderId="0" fillId="5" fontId="1" numFmtId="0" xfId="0" applyAlignment="1" applyFont="1">
      <alignment horizontal="center" readingOrder="0"/>
    </xf>
    <xf borderId="0" fillId="0" fontId="2" numFmtId="0" xfId="0" applyAlignment="1" applyFont="1">
      <alignment vertical="bottom"/>
    </xf>
    <xf borderId="0" fillId="3" fontId="1" numFmtId="49" xfId="0" applyFont="1" applyNumberFormat="1"/>
    <xf borderId="0" fillId="0" fontId="4" numFmtId="0" xfId="0" applyFont="1"/>
    <xf borderId="0" fillId="2" fontId="3" numFmtId="166" xfId="0" applyAlignment="1" applyFont="1" applyNumberFormat="1">
      <alignment horizontal="center" vertical="bottom"/>
    </xf>
    <xf borderId="0" fillId="0" fontId="3" numFmtId="166" xfId="0" applyAlignment="1" applyFont="1" applyNumberFormat="1">
      <alignment horizontal="center" vertical="bottom"/>
    </xf>
    <xf borderId="0" fillId="0" fontId="3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3" numFmtId="166" xfId="0" applyAlignment="1" applyFont="1" applyNumberFormat="1">
      <alignment vertical="bottom"/>
    </xf>
    <xf borderId="0" fillId="0" fontId="3" numFmtId="165" xfId="0" applyAlignment="1" applyFont="1" applyNumberFormat="1">
      <alignment vertical="bottom"/>
    </xf>
    <xf borderId="0" fillId="3" fontId="3" numFmtId="166" xfId="0" applyAlignment="1" applyFont="1" applyNumberFormat="1">
      <alignment horizontal="center" vertical="bottom"/>
    </xf>
    <xf borderId="0" fillId="3" fontId="3" numFmtId="165" xfId="0" applyAlignment="1" applyFont="1" applyNumberFormat="1">
      <alignment horizontal="center" vertical="bottom"/>
    </xf>
    <xf borderId="0" fillId="0" fontId="2" numFmtId="166" xfId="0" applyAlignment="1" applyFont="1" applyNumberFormat="1">
      <alignment horizontal="right" vertical="bottom"/>
    </xf>
    <xf borderId="0" fillId="0" fontId="2" numFmtId="166" xfId="0" applyAlignment="1" applyFont="1" applyNumberFormat="1">
      <alignment horizontal="center" vertical="bottom"/>
    </xf>
    <xf borderId="0" fillId="3" fontId="4" numFmtId="0" xfId="0" applyAlignment="1" applyFont="1">
      <alignment readingOrder="0"/>
    </xf>
    <xf borderId="0" fillId="2" fontId="1" numFmtId="0" xfId="0" applyAlignment="1" applyFont="1">
      <alignment horizontal="center" readingOrder="0"/>
    </xf>
    <xf borderId="0" fillId="3" fontId="3" numFmtId="49" xfId="0" applyAlignment="1" applyFont="1" applyNumberFormat="1">
      <alignment horizontal="center" vertical="bottom"/>
    </xf>
    <xf borderId="0" fillId="0" fontId="1" numFmtId="0" xfId="0" applyAlignment="1" applyFont="1">
      <alignment horizontal="center"/>
    </xf>
    <xf borderId="0" fillId="0" fontId="1" numFmtId="0" xfId="0" applyFont="1"/>
    <xf borderId="0" fillId="3" fontId="2" numFmtId="49" xfId="0" applyAlignment="1" applyFont="1" applyNumberFormat="1">
      <alignment vertical="bottom"/>
    </xf>
    <xf borderId="0" fillId="4" fontId="3" numFmtId="49" xfId="0" applyAlignment="1" applyFont="1" applyNumberFormat="1">
      <alignment horizontal="center" vertical="bottom"/>
    </xf>
    <xf borderId="0" fillId="5" fontId="3" numFmtId="49" xfId="0" applyAlignment="1" applyFont="1" applyNumberFormat="1">
      <alignment horizontal="center" vertical="bottom"/>
    </xf>
    <xf borderId="0" fillId="5" fontId="3" numFmtId="166" xfId="0" applyAlignment="1" applyFont="1" applyNumberFormat="1">
      <alignment horizontal="center" vertical="bottom"/>
    </xf>
    <xf borderId="0" fillId="3" fontId="3" numFmtId="166" xfId="0" applyAlignment="1" applyFont="1" applyNumberFormat="1">
      <alignment horizontal="center" vertical="bottom"/>
    </xf>
    <xf borderId="0" fillId="4" fontId="3" numFmtId="166" xfId="0" applyAlignment="1" applyFont="1" applyNumberFormat="1">
      <alignment horizontal="center" vertical="bottom"/>
    </xf>
    <xf borderId="0" fillId="0" fontId="2" numFmtId="166" xfId="0" applyAlignment="1" applyFont="1" applyNumberFormat="1">
      <alignment horizontal="center" vertical="bottom"/>
    </xf>
    <xf borderId="0" fillId="3" fontId="1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5" width="13.75"/>
    <col customWidth="1" min="7" max="10" width="16.25"/>
    <col customWidth="1" min="13" max="14" width="15.75"/>
  </cols>
  <sheetData>
    <row r="1">
      <c r="A1" s="1"/>
      <c r="B1" s="3" t="s">
        <v>0</v>
      </c>
      <c r="F1" s="5"/>
      <c r="G1" s="3" t="s">
        <v>1</v>
      </c>
      <c r="K1" s="1"/>
      <c r="L1" s="1"/>
      <c r="M1" s="1"/>
      <c r="N1" s="1"/>
      <c r="O1" s="1"/>
      <c r="P1" s="3" t="s">
        <v>1</v>
      </c>
      <c r="T1" s="1"/>
      <c r="U1" s="1"/>
      <c r="V1" s="1"/>
      <c r="W1" s="1"/>
      <c r="X1" s="1"/>
      <c r="Y1" s="1"/>
      <c r="Z1" s="1"/>
    </row>
    <row r="2">
      <c r="A2" s="1"/>
      <c r="B2" s="6" t="s">
        <v>2</v>
      </c>
      <c r="C2" s="6" t="s">
        <v>3</v>
      </c>
      <c r="D2" s="6" t="s">
        <v>4</v>
      </c>
      <c r="E2" s="6" t="s">
        <v>5</v>
      </c>
      <c r="F2" s="1"/>
      <c r="G2" s="6" t="s">
        <v>2</v>
      </c>
      <c r="H2" s="6" t="s">
        <v>3</v>
      </c>
      <c r="I2" s="6" t="s">
        <v>4</v>
      </c>
      <c r="J2" s="6" t="s">
        <v>5</v>
      </c>
      <c r="K2" s="1"/>
      <c r="L2" s="1"/>
      <c r="M2" s="1"/>
      <c r="N2" s="1"/>
      <c r="O2" s="1"/>
      <c r="V2" s="1"/>
      <c r="X2" s="1"/>
      <c r="Y2" s="1"/>
      <c r="Z2" s="1"/>
    </row>
    <row r="3">
      <c r="B3" s="8" t="s">
        <v>6</v>
      </c>
      <c r="C3" s="3" t="s">
        <v>7</v>
      </c>
      <c r="D3" s="3" t="s">
        <v>8</v>
      </c>
      <c r="E3" s="3" t="s">
        <v>9</v>
      </c>
      <c r="F3" s="5"/>
      <c r="G3" s="8" t="s">
        <v>10</v>
      </c>
      <c r="H3" s="3" t="s">
        <v>11</v>
      </c>
      <c r="I3" s="3" t="s">
        <v>12</v>
      </c>
      <c r="J3" s="3" t="s">
        <v>13</v>
      </c>
      <c r="K3" s="1"/>
      <c r="L3" s="1"/>
      <c r="M3" s="1"/>
      <c r="N3" s="1"/>
      <c r="O3" s="1"/>
      <c r="V3" s="1"/>
      <c r="X3" s="1"/>
      <c r="Y3" s="1"/>
      <c r="Z3" s="1"/>
    </row>
    <row r="4">
      <c r="A4" s="1"/>
      <c r="B4" s="3" t="s">
        <v>14</v>
      </c>
      <c r="C4" s="3" t="s">
        <v>15</v>
      </c>
      <c r="D4" s="3" t="s">
        <v>16</v>
      </c>
      <c r="E4" s="3" t="s">
        <v>17</v>
      </c>
      <c r="F4" s="5"/>
      <c r="G4" s="3" t="s">
        <v>18</v>
      </c>
      <c r="H4" s="3" t="s">
        <v>19</v>
      </c>
      <c r="I4" s="3" t="s">
        <v>20</v>
      </c>
      <c r="J4" s="3" t="s">
        <v>21</v>
      </c>
      <c r="K4" s="1"/>
      <c r="L4" s="1"/>
      <c r="M4" s="1"/>
      <c r="N4" s="1"/>
      <c r="O4" s="1"/>
      <c r="V4" s="1"/>
      <c r="X4" s="1"/>
      <c r="Y4" s="1"/>
      <c r="Z4" s="1"/>
    </row>
    <row r="5">
      <c r="A5" s="1"/>
      <c r="B5" s="3" t="s">
        <v>22</v>
      </c>
      <c r="C5" s="3" t="s">
        <v>23</v>
      </c>
      <c r="D5" s="3" t="s">
        <v>24</v>
      </c>
      <c r="E5" s="3" t="s">
        <v>25</v>
      </c>
      <c r="F5" s="5"/>
      <c r="G5" s="3" t="s">
        <v>26</v>
      </c>
      <c r="H5" s="3" t="s">
        <v>27</v>
      </c>
      <c r="I5" s="3" t="s">
        <v>28</v>
      </c>
      <c r="J5" s="3" t="s">
        <v>29</v>
      </c>
      <c r="K5" s="1"/>
      <c r="L5" s="1"/>
      <c r="M5" s="1"/>
      <c r="N5" s="1"/>
      <c r="O5" s="1"/>
      <c r="V5" s="1"/>
      <c r="X5" s="1"/>
      <c r="Y5" s="1"/>
      <c r="Z5" s="1"/>
    </row>
    <row r="6">
      <c r="A6" s="1"/>
      <c r="B6" s="3" t="s">
        <v>30</v>
      </c>
      <c r="C6" s="3" t="s">
        <v>31</v>
      </c>
      <c r="D6" s="3" t="s">
        <v>32</v>
      </c>
      <c r="E6" s="13" t="s">
        <v>33</v>
      </c>
      <c r="F6" s="5"/>
      <c r="G6" s="3" t="s">
        <v>34</v>
      </c>
      <c r="H6" s="3" t="s">
        <v>35</v>
      </c>
      <c r="I6" s="3" t="s">
        <v>36</v>
      </c>
      <c r="J6" s="13" t="s">
        <v>37</v>
      </c>
      <c r="K6" s="1"/>
      <c r="L6" s="1"/>
      <c r="M6" s="1"/>
      <c r="N6" s="1"/>
      <c r="O6" s="1"/>
      <c r="V6" s="1"/>
      <c r="X6" s="1"/>
      <c r="Y6" s="1"/>
      <c r="Z6" s="1"/>
    </row>
    <row r="7">
      <c r="A7" s="1"/>
      <c r="B7" s="5"/>
      <c r="C7" s="5"/>
      <c r="D7" s="3" t="s">
        <v>38</v>
      </c>
      <c r="E7" s="3" t="s">
        <v>39</v>
      </c>
      <c r="F7" s="5"/>
      <c r="G7" s="5"/>
      <c r="H7" s="5"/>
      <c r="I7" s="3" t="s">
        <v>40</v>
      </c>
      <c r="J7" s="3" t="s">
        <v>41</v>
      </c>
      <c r="K7" s="1"/>
      <c r="L7" s="1"/>
      <c r="M7" s="1"/>
      <c r="N7" s="1"/>
      <c r="O7" s="1"/>
      <c r="R7" s="5"/>
      <c r="V7" s="1"/>
      <c r="X7" s="1"/>
      <c r="Y7" s="1"/>
      <c r="Z7" s="1"/>
    </row>
    <row r="8">
      <c r="A8" s="1"/>
      <c r="B8" s="5"/>
      <c r="C8" s="5"/>
      <c r="D8" s="3" t="s">
        <v>42</v>
      </c>
      <c r="E8" s="3" t="s">
        <v>43</v>
      </c>
      <c r="F8" s="5"/>
      <c r="G8" s="5"/>
      <c r="H8" s="5"/>
      <c r="I8" s="3" t="s">
        <v>44</v>
      </c>
      <c r="J8" s="3" t="s">
        <v>45</v>
      </c>
      <c r="K8" s="1"/>
      <c r="L8" s="1"/>
      <c r="M8" s="1"/>
      <c r="N8" s="1"/>
      <c r="O8" s="1"/>
      <c r="R8" s="5"/>
      <c r="V8" s="1"/>
      <c r="X8" s="1"/>
      <c r="Y8" s="1"/>
      <c r="Z8" s="1"/>
    </row>
    <row r="9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/>
      <c r="B11" s="1"/>
      <c r="C11" s="1"/>
      <c r="D11" s="1"/>
      <c r="E11" s="1"/>
      <c r="F11" s="1" t="str">
        <f>AVERAGE(E3:E8)</f>
        <v>#DIV/0!</v>
      </c>
      <c r="G11" s="1"/>
      <c r="H11" s="1"/>
      <c r="I11" s="1"/>
      <c r="J11" s="1"/>
      <c r="K11" s="1"/>
      <c r="L11" s="1"/>
      <c r="M11" s="1"/>
      <c r="N11" s="1"/>
      <c r="O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/>
      <c r="B12" s="1"/>
      <c r="C12" s="1"/>
      <c r="D12" s="1"/>
      <c r="E12" s="1"/>
      <c r="F12" s="1"/>
      <c r="G12" s="1"/>
      <c r="H12" s="1"/>
      <c r="I12" s="1" t="str">
        <f>AVERAGE(J3:J8)</f>
        <v>#DIV/0!</v>
      </c>
      <c r="J12" s="1"/>
      <c r="K12" s="1"/>
      <c r="L12" s="1"/>
      <c r="M12" s="1"/>
      <c r="N12" s="1"/>
      <c r="O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S13" s="1"/>
      <c r="T13" s="1"/>
      <c r="U13" s="1"/>
      <c r="V13" s="1"/>
      <c r="W13" s="1"/>
      <c r="X13" s="1"/>
      <c r="Y13" s="1"/>
      <c r="Z13" s="1"/>
    </row>
    <row r="14">
      <c r="A14" s="1"/>
      <c r="B14" s="6" t="s">
        <v>46</v>
      </c>
      <c r="C14" s="1"/>
      <c r="D14" s="1"/>
      <c r="E14" s="1"/>
      <c r="F14" s="1"/>
      <c r="G14" s="6" t="s">
        <v>49</v>
      </c>
      <c r="H14" s="1"/>
      <c r="I14" s="1"/>
      <c r="J14" s="1"/>
      <c r="K14" s="1"/>
      <c r="M14" s="6" t="s">
        <v>46</v>
      </c>
      <c r="N14" s="6" t="s">
        <v>47</v>
      </c>
      <c r="O14" s="1"/>
      <c r="Q14" s="20" t="s">
        <v>2</v>
      </c>
      <c r="T14" s="1"/>
      <c r="U14" s="1"/>
      <c r="V14" s="1"/>
      <c r="W14" s="1"/>
      <c r="X14" s="1"/>
      <c r="Y14" s="1"/>
      <c r="Z14" s="1"/>
    </row>
    <row r="15">
      <c r="A15" s="1"/>
      <c r="B15" s="6" t="s">
        <v>2</v>
      </c>
      <c r="C15" s="6" t="s">
        <v>3</v>
      </c>
      <c r="D15" s="6" t="s">
        <v>4</v>
      </c>
      <c r="E15" s="6" t="s">
        <v>5</v>
      </c>
      <c r="F15" s="1"/>
      <c r="G15" s="6" t="s">
        <v>2</v>
      </c>
      <c r="H15" s="6" t="s">
        <v>3</v>
      </c>
      <c r="I15" s="6" t="s">
        <v>4</v>
      </c>
      <c r="J15" s="6" t="s">
        <v>5</v>
      </c>
      <c r="K15" s="1"/>
      <c r="M15" s="20" t="s">
        <v>2</v>
      </c>
      <c r="N15" s="20" t="s">
        <v>2</v>
      </c>
      <c r="Q15" s="6" t="s">
        <v>50</v>
      </c>
      <c r="R15" s="6" t="s">
        <v>51</v>
      </c>
      <c r="S15" s="6" t="s">
        <v>52</v>
      </c>
      <c r="T15" s="6"/>
      <c r="U15" s="1"/>
      <c r="V15" s="6" t="s">
        <v>2</v>
      </c>
      <c r="W15" s="1"/>
      <c r="X15" s="1"/>
      <c r="Y15" s="1"/>
      <c r="Z15" s="1"/>
    </row>
    <row r="16">
      <c r="A16" s="1"/>
      <c r="B16" s="8" t="s">
        <v>53</v>
      </c>
      <c r="C16" s="22">
        <v>38776.57</v>
      </c>
      <c r="D16" s="3" t="s">
        <v>54</v>
      </c>
      <c r="E16" s="3" t="s">
        <v>55</v>
      </c>
      <c r="F16" s="1"/>
      <c r="G16" s="24">
        <f t="shared" ref="G16:J16" si="1">B25-B16</f>
        <v>643.15</v>
      </c>
      <c r="H16" s="1">
        <f t="shared" si="1"/>
        <v>1396.59</v>
      </c>
      <c r="I16" s="1">
        <f t="shared" si="1"/>
        <v>7231.68</v>
      </c>
      <c r="J16" s="1">
        <f t="shared" si="1"/>
        <v>8383.01</v>
      </c>
      <c r="K16" s="1"/>
      <c r="L16" s="25" t="s">
        <v>56</v>
      </c>
      <c r="M16" s="8" t="s">
        <v>53</v>
      </c>
      <c r="N16" s="8" t="s">
        <v>57</v>
      </c>
      <c r="P16" s="26" t="s">
        <v>56</v>
      </c>
      <c r="Q16" s="27" t="s">
        <v>58</v>
      </c>
      <c r="R16" s="27" t="s">
        <v>59</v>
      </c>
      <c r="S16" s="29" t="s">
        <v>60</v>
      </c>
      <c r="T16" s="1"/>
      <c r="U16" s="1"/>
      <c r="V16" s="8" t="s">
        <v>61</v>
      </c>
      <c r="W16" s="1"/>
      <c r="X16" s="1"/>
      <c r="Y16" s="1"/>
      <c r="Z16" s="1"/>
    </row>
    <row r="17">
      <c r="A17" s="1"/>
      <c r="B17" s="3" t="s">
        <v>62</v>
      </c>
      <c r="C17" s="22">
        <v>41834.52</v>
      </c>
      <c r="D17" s="3" t="s">
        <v>63</v>
      </c>
      <c r="E17" s="3" t="s">
        <v>64</v>
      </c>
      <c r="F17" s="1"/>
      <c r="G17" s="1">
        <f t="shared" ref="G17:J17" si="2">B26-B17</f>
        <v>661.76</v>
      </c>
      <c r="H17" s="1">
        <f t="shared" si="2"/>
        <v>1767.79</v>
      </c>
      <c r="I17" s="1">
        <f t="shared" si="2"/>
        <v>9186.11</v>
      </c>
      <c r="J17" s="1">
        <f t="shared" si="2"/>
        <v>10618.47</v>
      </c>
      <c r="K17" s="1"/>
      <c r="L17" s="26" t="s">
        <v>56</v>
      </c>
      <c r="M17" s="3" t="s">
        <v>62</v>
      </c>
      <c r="N17" s="3" t="s">
        <v>65</v>
      </c>
      <c r="P17" s="26" t="s">
        <v>56</v>
      </c>
      <c r="Q17" s="8" t="s">
        <v>66</v>
      </c>
      <c r="R17" s="33" t="s">
        <v>68</v>
      </c>
      <c r="S17" s="34" t="s">
        <v>69</v>
      </c>
      <c r="T17" s="1"/>
      <c r="U17" s="1"/>
      <c r="V17" s="3" t="s">
        <v>67</v>
      </c>
      <c r="W17" s="1"/>
      <c r="X17" s="1"/>
      <c r="Y17" s="1"/>
      <c r="Z17" s="1"/>
    </row>
    <row r="18">
      <c r="A18" s="1"/>
      <c r="B18" s="3" t="s">
        <v>70</v>
      </c>
      <c r="C18" s="3" t="s">
        <v>71</v>
      </c>
      <c r="D18" s="3" t="s">
        <v>73</v>
      </c>
      <c r="E18" s="3" t="s">
        <v>74</v>
      </c>
      <c r="F18" s="1"/>
      <c r="G18" s="1">
        <f t="shared" ref="G18:J18" si="3">B27-B18</f>
        <v>1242.98</v>
      </c>
      <c r="H18" s="1">
        <f t="shared" si="3"/>
        <v>2070.75</v>
      </c>
      <c r="I18" s="1">
        <f t="shared" si="3"/>
        <v>7867.8</v>
      </c>
      <c r="J18" s="1">
        <f t="shared" si="3"/>
        <v>10372.76</v>
      </c>
      <c r="K18" s="1"/>
      <c r="L18" s="26" t="s">
        <v>72</v>
      </c>
      <c r="M18" s="3" t="s">
        <v>70</v>
      </c>
      <c r="N18" s="3" t="s">
        <v>76</v>
      </c>
      <c r="P18" s="26" t="s">
        <v>72</v>
      </c>
      <c r="Q18" s="29">
        <v>8.78</v>
      </c>
      <c r="R18" s="27" t="s">
        <v>77</v>
      </c>
      <c r="S18" s="27" t="s">
        <v>60</v>
      </c>
      <c r="T18" s="1"/>
      <c r="U18" s="1"/>
      <c r="V18" s="3" t="s">
        <v>75</v>
      </c>
      <c r="W18" s="1"/>
      <c r="X18" s="1"/>
      <c r="Y18" s="1"/>
      <c r="Z18" s="1"/>
    </row>
    <row r="19">
      <c r="A19" s="1"/>
      <c r="B19" s="3" t="s">
        <v>78</v>
      </c>
      <c r="C19" s="3" t="s">
        <v>79</v>
      </c>
      <c r="D19" s="3" t="s">
        <v>80</v>
      </c>
      <c r="E19" s="3" t="s">
        <v>81</v>
      </c>
      <c r="F19" s="1"/>
      <c r="G19" s="1">
        <f t="shared" ref="G19:J19" si="4">B28-B19</f>
        <v>1133.17</v>
      </c>
      <c r="H19" s="1">
        <f t="shared" si="4"/>
        <v>2959.83</v>
      </c>
      <c r="I19" s="1">
        <f t="shared" si="4"/>
        <v>9056.63</v>
      </c>
      <c r="J19" s="36">
        <f t="shared" si="4"/>
        <v>10857.28</v>
      </c>
      <c r="K19" s="1"/>
      <c r="L19" s="26" t="s">
        <v>72</v>
      </c>
      <c r="M19" s="3" t="s">
        <v>78</v>
      </c>
      <c r="N19" s="3" t="s">
        <v>84</v>
      </c>
      <c r="P19" s="26" t="s">
        <v>72</v>
      </c>
      <c r="Q19" s="29">
        <v>22.52</v>
      </c>
      <c r="R19" s="27" t="s">
        <v>85</v>
      </c>
      <c r="S19" s="27" t="s">
        <v>60</v>
      </c>
      <c r="T19" s="1"/>
      <c r="U19" s="1"/>
      <c r="V19" s="3" t="s">
        <v>82</v>
      </c>
      <c r="W19" s="1"/>
      <c r="X19" s="1"/>
      <c r="Y19" s="1"/>
      <c r="Z19" s="1"/>
    </row>
    <row r="20">
      <c r="A20" s="1"/>
      <c r="B20" s="5"/>
      <c r="C20" s="5"/>
      <c r="D20" s="3" t="s">
        <v>86</v>
      </c>
      <c r="E20" s="3" t="s">
        <v>87</v>
      </c>
      <c r="F20" s="1"/>
      <c r="G20" s="1"/>
      <c r="H20" s="1"/>
      <c r="I20" s="1">
        <f t="shared" ref="I20:J20" si="5">D29-D20</f>
        <v>3236.44</v>
      </c>
      <c r="J20" s="1">
        <f t="shared" si="5"/>
        <v>6380.89</v>
      </c>
      <c r="K20" s="1"/>
      <c r="L20" s="37"/>
      <c r="M20" s="5"/>
      <c r="P20" s="37"/>
      <c r="S20" s="5"/>
      <c r="T20" s="1"/>
      <c r="U20" s="1"/>
      <c r="V20" s="5"/>
      <c r="W20" s="1"/>
      <c r="X20" s="1"/>
      <c r="Y20" s="1"/>
      <c r="Z20" s="1"/>
    </row>
    <row r="21">
      <c r="A21" s="1"/>
      <c r="B21" s="5"/>
      <c r="C21" s="5"/>
      <c r="D21" s="3" t="s">
        <v>88</v>
      </c>
      <c r="E21" s="13" t="s">
        <v>89</v>
      </c>
      <c r="F21" s="1"/>
      <c r="G21" s="1"/>
      <c r="H21" s="1"/>
      <c r="I21" s="1">
        <f t="shared" ref="I21:J21" si="6">D30-D21</f>
        <v>4146.08</v>
      </c>
      <c r="J21" s="1">
        <f t="shared" si="6"/>
        <v>6845.13</v>
      </c>
      <c r="K21" s="1"/>
      <c r="L21" s="37"/>
      <c r="M21" s="20" t="s">
        <v>3</v>
      </c>
      <c r="N21" s="20" t="s">
        <v>3</v>
      </c>
      <c r="P21" s="37"/>
      <c r="Q21" s="20" t="s">
        <v>3</v>
      </c>
      <c r="S21" s="5"/>
      <c r="T21" s="1"/>
      <c r="U21" s="1"/>
      <c r="V21" s="6" t="s">
        <v>3</v>
      </c>
      <c r="W21" s="1"/>
      <c r="X21" s="1"/>
      <c r="Y21" s="1"/>
      <c r="Z21" s="1"/>
    </row>
    <row r="22">
      <c r="A22" s="1"/>
      <c r="F22" s="1"/>
      <c r="G22" s="1"/>
      <c r="H22" s="1"/>
      <c r="I22" s="1"/>
      <c r="J22" s="1"/>
      <c r="K22" s="1"/>
      <c r="L22" s="26" t="s">
        <v>56</v>
      </c>
      <c r="M22" s="22">
        <v>38776.57</v>
      </c>
      <c r="N22" s="3" t="s">
        <v>91</v>
      </c>
      <c r="P22" s="26" t="s">
        <v>56</v>
      </c>
      <c r="Q22" s="27" t="s">
        <v>92</v>
      </c>
      <c r="R22" s="29" t="s">
        <v>93</v>
      </c>
      <c r="S22" s="27" t="s">
        <v>60</v>
      </c>
      <c r="T22" s="1"/>
      <c r="U22" s="1"/>
      <c r="V22" s="3" t="s">
        <v>90</v>
      </c>
      <c r="W22" s="1"/>
      <c r="X22" s="1"/>
      <c r="Y22" s="1"/>
      <c r="Z22" s="1"/>
    </row>
    <row r="23">
      <c r="A23" s="1"/>
      <c r="B23" s="6" t="s">
        <v>47</v>
      </c>
      <c r="C23" s="1"/>
      <c r="D23" s="1"/>
      <c r="E23" s="1"/>
      <c r="F23" s="1"/>
      <c r="G23" s="1"/>
      <c r="H23" s="1"/>
      <c r="I23" s="1"/>
      <c r="J23" s="1"/>
      <c r="K23" s="1"/>
      <c r="L23" s="26" t="s">
        <v>56</v>
      </c>
      <c r="M23" s="22">
        <v>41834.52</v>
      </c>
      <c r="N23" s="3" t="s">
        <v>95</v>
      </c>
      <c r="P23" s="26" t="s">
        <v>56</v>
      </c>
      <c r="Q23" s="27" t="s">
        <v>96</v>
      </c>
      <c r="R23" s="29" t="s">
        <v>97</v>
      </c>
      <c r="S23" s="27" t="s">
        <v>60</v>
      </c>
      <c r="T23" s="1"/>
      <c r="U23" s="1"/>
      <c r="V23" s="3" t="s">
        <v>94</v>
      </c>
      <c r="W23" s="1"/>
      <c r="X23" s="1"/>
      <c r="Y23" s="1"/>
      <c r="Z23" s="1"/>
    </row>
    <row r="24">
      <c r="A24" s="1"/>
      <c r="B24" s="6" t="s">
        <v>2</v>
      </c>
      <c r="C24" s="6" t="s">
        <v>3</v>
      </c>
      <c r="D24" s="6" t="s">
        <v>4</v>
      </c>
      <c r="E24" s="6" t="s">
        <v>5</v>
      </c>
      <c r="F24" s="1"/>
      <c r="G24" s="6" t="s">
        <v>83</v>
      </c>
      <c r="H24" s="1"/>
      <c r="I24" s="1"/>
      <c r="J24" s="1"/>
      <c r="K24" s="1"/>
      <c r="L24" s="26" t="s">
        <v>72</v>
      </c>
      <c r="M24" s="3" t="s">
        <v>71</v>
      </c>
      <c r="N24" s="3" t="s">
        <v>98</v>
      </c>
      <c r="P24" s="26" t="s">
        <v>72</v>
      </c>
      <c r="Q24" s="34">
        <v>6.32</v>
      </c>
      <c r="R24" s="33" t="s">
        <v>99</v>
      </c>
      <c r="S24" s="33" t="s">
        <v>69</v>
      </c>
      <c r="T24" s="1"/>
      <c r="U24" s="1"/>
      <c r="V24" s="3" t="s">
        <v>100</v>
      </c>
      <c r="W24" s="1"/>
      <c r="X24" s="1"/>
      <c r="Y24" s="1"/>
      <c r="Z24" s="1"/>
    </row>
    <row r="25">
      <c r="A25" s="1"/>
      <c r="B25" s="8" t="s">
        <v>57</v>
      </c>
      <c r="C25" s="3" t="s">
        <v>91</v>
      </c>
      <c r="D25" s="3" t="s">
        <v>101</v>
      </c>
      <c r="E25" s="3" t="s">
        <v>102</v>
      </c>
      <c r="F25" s="1"/>
      <c r="G25" s="6" t="s">
        <v>2</v>
      </c>
      <c r="H25" s="6" t="s">
        <v>3</v>
      </c>
      <c r="I25" s="6" t="s">
        <v>4</v>
      </c>
      <c r="J25" s="6" t="s">
        <v>5</v>
      </c>
      <c r="K25" s="1"/>
      <c r="L25" s="26" t="s">
        <v>72</v>
      </c>
      <c r="M25" s="3" t="s">
        <v>79</v>
      </c>
      <c r="N25" s="3" t="s">
        <v>103</v>
      </c>
      <c r="P25" s="26" t="s">
        <v>72</v>
      </c>
      <c r="Q25" s="29">
        <v>9.99</v>
      </c>
      <c r="R25" s="27" t="s">
        <v>104</v>
      </c>
      <c r="S25" s="27" t="s">
        <v>60</v>
      </c>
      <c r="T25" s="1"/>
      <c r="U25" s="1"/>
      <c r="V25" s="3" t="s">
        <v>105</v>
      </c>
      <c r="W25" s="1"/>
      <c r="X25" s="1"/>
      <c r="Y25" s="1"/>
      <c r="Z25" s="1"/>
    </row>
    <row r="26">
      <c r="A26" s="1"/>
      <c r="B26" s="3" t="s">
        <v>65</v>
      </c>
      <c r="C26" s="3" t="s">
        <v>95</v>
      </c>
      <c r="D26" s="3" t="s">
        <v>106</v>
      </c>
      <c r="E26" s="3" t="s">
        <v>107</v>
      </c>
      <c r="F26" s="1"/>
      <c r="G26" s="8" t="s">
        <v>108</v>
      </c>
      <c r="H26" s="22">
        <v>39456.65</v>
      </c>
      <c r="I26" s="3" t="s">
        <v>109</v>
      </c>
      <c r="J26" s="3" t="s">
        <v>110</v>
      </c>
      <c r="K26" s="1"/>
      <c r="L26" s="37"/>
      <c r="P26" s="37"/>
      <c r="S26" s="5"/>
      <c r="T26" s="1"/>
      <c r="U26" s="1"/>
      <c r="V26" s="1"/>
      <c r="W26" s="1"/>
      <c r="X26" s="1"/>
      <c r="Y26" s="1"/>
      <c r="Z26" s="1"/>
    </row>
    <row r="27">
      <c r="A27" s="1"/>
      <c r="B27" s="3" t="s">
        <v>76</v>
      </c>
      <c r="C27" s="3" t="s">
        <v>98</v>
      </c>
      <c r="D27" s="3" t="s">
        <v>111</v>
      </c>
      <c r="E27" s="3" t="s">
        <v>112</v>
      </c>
      <c r="F27" s="1"/>
      <c r="G27" s="3" t="s">
        <v>113</v>
      </c>
      <c r="H27" s="22">
        <v>42689.07</v>
      </c>
      <c r="I27" s="3" t="s">
        <v>114</v>
      </c>
      <c r="J27" s="3" t="s">
        <v>115</v>
      </c>
      <c r="K27" s="1"/>
      <c r="L27" s="37"/>
      <c r="M27" s="20" t="s">
        <v>4</v>
      </c>
      <c r="N27" s="20" t="s">
        <v>4</v>
      </c>
      <c r="P27" s="37"/>
      <c r="Q27" s="20" t="s">
        <v>4</v>
      </c>
      <c r="S27" s="5"/>
      <c r="T27" s="1"/>
      <c r="U27" s="1"/>
      <c r="V27" s="6" t="s">
        <v>4</v>
      </c>
      <c r="W27" s="1"/>
      <c r="X27" s="1"/>
      <c r="Y27" s="1"/>
      <c r="Z27" s="1"/>
    </row>
    <row r="28">
      <c r="A28" s="1"/>
      <c r="B28" s="3" t="s">
        <v>84</v>
      </c>
      <c r="C28" s="3" t="s">
        <v>103</v>
      </c>
      <c r="D28" s="3" t="s">
        <v>116</v>
      </c>
      <c r="E28" s="3" t="s">
        <v>117</v>
      </c>
      <c r="F28" s="1"/>
      <c r="G28" s="3" t="s">
        <v>118</v>
      </c>
      <c r="H28" s="3" t="s">
        <v>119</v>
      </c>
      <c r="I28" s="3" t="s">
        <v>120</v>
      </c>
      <c r="J28" s="3" t="s">
        <v>121</v>
      </c>
      <c r="K28" s="1"/>
      <c r="L28" s="26" t="s">
        <v>122</v>
      </c>
      <c r="M28" s="3" t="s">
        <v>54</v>
      </c>
      <c r="N28" s="3" t="s">
        <v>101</v>
      </c>
      <c r="P28" s="26" t="s">
        <v>122</v>
      </c>
      <c r="Q28" s="33" t="s">
        <v>123</v>
      </c>
      <c r="R28" s="33" t="s">
        <v>124</v>
      </c>
      <c r="S28" s="33" t="s">
        <v>69</v>
      </c>
      <c r="T28" s="1"/>
      <c r="U28" s="1"/>
      <c r="V28" s="3" t="s">
        <v>125</v>
      </c>
      <c r="W28" s="1"/>
      <c r="X28" s="1"/>
      <c r="Y28" s="1"/>
      <c r="Z28" s="1"/>
    </row>
    <row r="29">
      <c r="A29" s="1"/>
      <c r="B29" s="5"/>
      <c r="C29" s="5"/>
      <c r="D29" s="3" t="s">
        <v>126</v>
      </c>
      <c r="E29" s="3" t="s">
        <v>127</v>
      </c>
      <c r="F29" s="1"/>
      <c r="G29" s="3" t="s">
        <v>128</v>
      </c>
      <c r="H29" s="3" t="s">
        <v>129</v>
      </c>
      <c r="I29" s="3" t="s">
        <v>130</v>
      </c>
      <c r="J29" s="3" t="s">
        <v>131</v>
      </c>
      <c r="K29" s="1"/>
      <c r="L29" s="26" t="s">
        <v>122</v>
      </c>
      <c r="M29" s="3" t="s">
        <v>63</v>
      </c>
      <c r="N29" s="3" t="s">
        <v>106</v>
      </c>
      <c r="P29" s="26" t="s">
        <v>122</v>
      </c>
      <c r="Q29" s="27" t="s">
        <v>132</v>
      </c>
      <c r="R29" s="27" t="s">
        <v>133</v>
      </c>
      <c r="S29" s="27" t="s">
        <v>60</v>
      </c>
      <c r="T29" s="1"/>
      <c r="U29" s="1"/>
      <c r="V29" s="3" t="s">
        <v>134</v>
      </c>
      <c r="W29" s="1"/>
      <c r="X29" s="1"/>
      <c r="Y29" s="1"/>
      <c r="Z29" s="1"/>
    </row>
    <row r="30">
      <c r="A30" s="1"/>
      <c r="B30" s="5"/>
      <c r="C30" s="5"/>
      <c r="D30" s="3" t="s">
        <v>135</v>
      </c>
      <c r="E30" s="13" t="s">
        <v>136</v>
      </c>
      <c r="F30" s="1"/>
      <c r="G30" s="5"/>
      <c r="H30" s="5"/>
      <c r="I30" s="3" t="s">
        <v>137</v>
      </c>
      <c r="J30" s="3" t="s">
        <v>138</v>
      </c>
      <c r="K30" s="1"/>
      <c r="L30" s="26" t="s">
        <v>139</v>
      </c>
      <c r="M30" s="3" t="s">
        <v>73</v>
      </c>
      <c r="N30" s="3" t="s">
        <v>111</v>
      </c>
      <c r="P30" s="26" t="s">
        <v>139</v>
      </c>
      <c r="Q30" s="29">
        <v>34.74</v>
      </c>
      <c r="R30" s="27" t="s">
        <v>140</v>
      </c>
      <c r="S30" s="27" t="s">
        <v>60</v>
      </c>
      <c r="T30" s="1"/>
      <c r="U30" s="1"/>
      <c r="V30" s="3" t="s">
        <v>141</v>
      </c>
      <c r="W30" s="1"/>
      <c r="X30" s="1"/>
      <c r="Y30" s="1"/>
      <c r="Z30" s="1"/>
    </row>
    <row r="31">
      <c r="A31" s="1"/>
      <c r="B31" s="1"/>
      <c r="C31" s="1"/>
      <c r="D31" s="1"/>
      <c r="E31" s="1"/>
      <c r="F31" s="1"/>
      <c r="G31" s="5"/>
      <c r="H31" s="5"/>
      <c r="I31" s="3" t="s">
        <v>142</v>
      </c>
      <c r="J31" s="13" t="s">
        <v>143</v>
      </c>
      <c r="K31" s="1"/>
      <c r="L31" s="26" t="s">
        <v>139</v>
      </c>
      <c r="M31" s="3" t="s">
        <v>80</v>
      </c>
      <c r="N31" s="3" t="s">
        <v>116</v>
      </c>
      <c r="O31" s="1"/>
      <c r="P31" s="26" t="s">
        <v>139</v>
      </c>
      <c r="Q31" s="29">
        <v>24.84</v>
      </c>
      <c r="R31" s="27" t="s">
        <v>144</v>
      </c>
      <c r="S31" s="27" t="s">
        <v>60</v>
      </c>
      <c r="T31" s="1"/>
      <c r="U31" s="1"/>
      <c r="V31" s="3" t="s">
        <v>145</v>
      </c>
      <c r="W31" s="1"/>
      <c r="X31" s="1"/>
      <c r="Y31" s="1"/>
      <c r="Z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26" t="s">
        <v>146</v>
      </c>
      <c r="M32" s="3" t="s">
        <v>86</v>
      </c>
      <c r="N32" s="3" t="s">
        <v>126</v>
      </c>
      <c r="O32" s="1"/>
      <c r="P32" s="26" t="s">
        <v>146</v>
      </c>
      <c r="Q32" s="29">
        <v>10.95</v>
      </c>
      <c r="R32" s="27" t="s">
        <v>147</v>
      </c>
      <c r="S32" s="27" t="s">
        <v>60</v>
      </c>
      <c r="T32" s="1"/>
      <c r="U32" s="1"/>
      <c r="V32" s="3" t="s">
        <v>148</v>
      </c>
      <c r="W32" s="1"/>
      <c r="X32" s="1"/>
      <c r="Y32" s="1"/>
      <c r="Z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26" t="s">
        <v>146</v>
      </c>
      <c r="M33" s="3" t="s">
        <v>88</v>
      </c>
      <c r="N33" s="3" t="s">
        <v>135</v>
      </c>
      <c r="O33" s="1"/>
      <c r="P33" s="26" t="s">
        <v>146</v>
      </c>
      <c r="Q33" s="29">
        <v>10.42</v>
      </c>
      <c r="R33" s="27" t="s">
        <v>149</v>
      </c>
      <c r="S33" s="27" t="s">
        <v>60</v>
      </c>
      <c r="T33" s="1"/>
      <c r="U33" s="1"/>
      <c r="V33" s="3" t="s">
        <v>150</v>
      </c>
      <c r="W33" s="1"/>
      <c r="X33" s="1"/>
      <c r="Y33" s="1"/>
      <c r="Z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37"/>
      <c r="M34" s="1"/>
      <c r="N34" s="1"/>
      <c r="O34" s="1"/>
      <c r="P34" s="37"/>
      <c r="S34" s="5"/>
      <c r="T34" s="1"/>
      <c r="U34" s="1"/>
      <c r="V34" s="1"/>
      <c r="W34" s="1"/>
      <c r="X34" s="1"/>
      <c r="Y34" s="1"/>
      <c r="Z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37"/>
      <c r="M35" s="20" t="s">
        <v>5</v>
      </c>
      <c r="N35" s="20" t="s">
        <v>5</v>
      </c>
      <c r="O35" s="1"/>
      <c r="P35" s="37"/>
      <c r="Q35" s="20" t="s">
        <v>5</v>
      </c>
      <c r="S35" s="5"/>
      <c r="T35" s="1"/>
      <c r="U35" s="1"/>
      <c r="V35" s="6" t="s">
        <v>5</v>
      </c>
      <c r="W35" s="1"/>
      <c r="X35" s="1"/>
      <c r="Y35" s="1"/>
      <c r="Z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26" t="s">
        <v>122</v>
      </c>
      <c r="M36" s="3" t="s">
        <v>55</v>
      </c>
      <c r="N36" s="3" t="s">
        <v>102</v>
      </c>
      <c r="O36" s="1"/>
      <c r="P36" s="26" t="s">
        <v>122</v>
      </c>
      <c r="Q36" s="33" t="s">
        <v>151</v>
      </c>
      <c r="R36" s="33" t="s">
        <v>152</v>
      </c>
      <c r="S36" s="33" t="s">
        <v>69</v>
      </c>
      <c r="T36" s="1"/>
      <c r="U36" s="1"/>
      <c r="V36" s="3" t="s">
        <v>153</v>
      </c>
      <c r="W36" s="1"/>
      <c r="X36" s="1"/>
      <c r="Y36" s="1"/>
      <c r="Z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26" t="s">
        <v>122</v>
      </c>
      <c r="M37" s="3" t="s">
        <v>64</v>
      </c>
      <c r="N37" s="3" t="s">
        <v>107</v>
      </c>
      <c r="O37" s="1"/>
      <c r="P37" s="26" t="s">
        <v>122</v>
      </c>
      <c r="Q37" s="33" t="s">
        <v>154</v>
      </c>
      <c r="R37" s="33" t="s">
        <v>155</v>
      </c>
      <c r="S37" s="33" t="s">
        <v>69</v>
      </c>
      <c r="T37" s="1"/>
      <c r="U37" s="1"/>
      <c r="V37" s="3" t="s">
        <v>156</v>
      </c>
      <c r="W37" s="1"/>
      <c r="X37" s="1"/>
      <c r="Y37" s="1"/>
      <c r="Z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26" t="s">
        <v>139</v>
      </c>
      <c r="M38" s="3" t="s">
        <v>74</v>
      </c>
      <c r="N38" s="3" t="s">
        <v>112</v>
      </c>
      <c r="O38" s="1"/>
      <c r="P38" s="26" t="s">
        <v>139</v>
      </c>
      <c r="Q38" s="13" t="s">
        <v>157</v>
      </c>
      <c r="R38" s="33" t="s">
        <v>158</v>
      </c>
      <c r="S38" s="33" t="s">
        <v>69</v>
      </c>
      <c r="T38" s="1"/>
      <c r="U38" s="1"/>
      <c r="V38" s="3" t="s">
        <v>159</v>
      </c>
      <c r="W38" s="1"/>
      <c r="X38" s="1"/>
      <c r="Y38" s="1"/>
      <c r="Z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26" t="s">
        <v>139</v>
      </c>
      <c r="M39" s="3" t="s">
        <v>81</v>
      </c>
      <c r="N39" s="3" t="s">
        <v>117</v>
      </c>
      <c r="O39" s="1"/>
      <c r="P39" s="26" t="s">
        <v>139</v>
      </c>
      <c r="Q39" s="33" t="s">
        <v>160</v>
      </c>
      <c r="R39" s="33" t="s">
        <v>161</v>
      </c>
      <c r="S39" s="33" t="s">
        <v>69</v>
      </c>
      <c r="T39" s="1"/>
      <c r="U39" s="1"/>
      <c r="V39" s="13" t="s">
        <v>162</v>
      </c>
      <c r="W39" s="1"/>
      <c r="X39" s="1"/>
      <c r="Y39" s="1"/>
      <c r="Z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26" t="s">
        <v>146</v>
      </c>
      <c r="M40" s="3" t="s">
        <v>87</v>
      </c>
      <c r="N40" s="3" t="s">
        <v>127</v>
      </c>
      <c r="O40" s="1"/>
      <c r="P40" s="26" t="s">
        <v>146</v>
      </c>
      <c r="Q40" s="27" t="s">
        <v>163</v>
      </c>
      <c r="R40" s="27" t="s">
        <v>164</v>
      </c>
      <c r="S40" s="27" t="s">
        <v>60</v>
      </c>
      <c r="T40" s="1"/>
      <c r="U40" s="1"/>
      <c r="V40" s="3" t="s">
        <v>165</v>
      </c>
      <c r="W40" s="1"/>
      <c r="X40" s="1"/>
      <c r="Y40" s="1"/>
      <c r="Z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48" t="s">
        <v>146</v>
      </c>
      <c r="M41" s="13" t="s">
        <v>89</v>
      </c>
      <c r="N41" s="13" t="s">
        <v>136</v>
      </c>
      <c r="O41" s="1"/>
      <c r="P41" s="26" t="s">
        <v>146</v>
      </c>
      <c r="Q41" s="27" t="s">
        <v>166</v>
      </c>
      <c r="R41" s="27" t="s">
        <v>167</v>
      </c>
      <c r="S41" s="27" t="s">
        <v>60</v>
      </c>
      <c r="T41" s="1"/>
      <c r="U41" s="1"/>
      <c r="V41" s="3" t="s">
        <v>168</v>
      </c>
      <c r="W41" s="1"/>
      <c r="X41" s="1"/>
      <c r="Y41" s="1"/>
      <c r="Z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5"/>
      <c r="R42" s="1"/>
      <c r="S42" s="1"/>
      <c r="T42" s="1"/>
      <c r="U42" s="1"/>
      <c r="V42" s="1"/>
      <c r="W42" s="1"/>
      <c r="X42" s="1"/>
      <c r="Y42" s="1"/>
      <c r="Z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>
        <f t="shared" ref="M46:N46" si="7">SUM(M49:M52)/4</f>
        <v>39016.8125</v>
      </c>
      <c r="N46" s="1">
        <f t="shared" si="7"/>
        <v>39937.0775</v>
      </c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M47" s="6" t="s">
        <v>46</v>
      </c>
      <c r="N47" s="6" t="s">
        <v>47</v>
      </c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M48" s="20" t="s">
        <v>2</v>
      </c>
      <c r="N48" s="20" t="s">
        <v>2</v>
      </c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25" t="s">
        <v>56</v>
      </c>
      <c r="M49" s="49">
        <v>35193.44</v>
      </c>
      <c r="N49" s="49">
        <v>35836.59</v>
      </c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26" t="s">
        <v>56</v>
      </c>
      <c r="M50" s="22">
        <v>35472.29</v>
      </c>
      <c r="N50" s="22">
        <v>36134.05</v>
      </c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26" t="s">
        <v>72</v>
      </c>
      <c r="M51" s="22">
        <v>42565.38</v>
      </c>
      <c r="N51" s="22">
        <v>43808.36</v>
      </c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26" t="s">
        <v>72</v>
      </c>
      <c r="M52" s="22">
        <v>42836.14</v>
      </c>
      <c r="N52" s="22">
        <v>43969.31</v>
      </c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37"/>
      <c r="M53" s="51"/>
      <c r="N53" s="52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M54" s="1">
        <f t="shared" ref="M54:N54" si="8">SUM(M57:M60)/4</f>
        <v>34255.235</v>
      </c>
      <c r="N54" s="1">
        <f t="shared" si="8"/>
        <v>35954.8275</v>
      </c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37"/>
      <c r="M55" s="26" t="s">
        <v>3</v>
      </c>
      <c r="N55" s="26" t="s">
        <v>3</v>
      </c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26" t="s">
        <v>56</v>
      </c>
      <c r="M56" s="22">
        <v>38776.57</v>
      </c>
      <c r="N56" s="22">
        <v>40173.16</v>
      </c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26" t="s">
        <v>56</v>
      </c>
      <c r="M57" s="22">
        <v>41834.52</v>
      </c>
      <c r="N57" s="22">
        <v>43602.31</v>
      </c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26" t="s">
        <v>72</v>
      </c>
      <c r="M58" s="22">
        <v>44945.88</v>
      </c>
      <c r="N58" s="22">
        <v>47016.63</v>
      </c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26" t="s">
        <v>72</v>
      </c>
      <c r="M59" s="22">
        <v>50240.54</v>
      </c>
      <c r="N59" s="22">
        <v>53200.37</v>
      </c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37"/>
      <c r="M60" s="52"/>
      <c r="N60" s="52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M62" s="1">
        <f t="shared" ref="M62:N62" si="9">SUM(M64:M69)/6</f>
        <v>64550.43167</v>
      </c>
      <c r="N62" s="1">
        <f t="shared" si="9"/>
        <v>71337.88833</v>
      </c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37"/>
      <c r="M63" s="26" t="s">
        <v>4</v>
      </c>
      <c r="N63" s="26" t="s">
        <v>4</v>
      </c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26" t="s">
        <v>122</v>
      </c>
      <c r="M64" s="22">
        <v>58776.88</v>
      </c>
      <c r="N64" s="22">
        <v>66008.56</v>
      </c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26" t="s">
        <v>122</v>
      </c>
      <c r="M65" s="22">
        <v>64308.27</v>
      </c>
      <c r="N65" s="22">
        <v>73494.38</v>
      </c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26" t="s">
        <v>139</v>
      </c>
      <c r="M66" s="22">
        <v>63913.45</v>
      </c>
      <c r="N66" s="22">
        <v>71781.25</v>
      </c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26" t="s">
        <v>139</v>
      </c>
      <c r="M67" s="22">
        <v>67246.67</v>
      </c>
      <c r="N67" s="22">
        <v>76303.3</v>
      </c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26" t="s">
        <v>146</v>
      </c>
      <c r="M68" s="22">
        <v>64057.6</v>
      </c>
      <c r="N68" s="22">
        <v>67294.04</v>
      </c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26" t="s">
        <v>146</v>
      </c>
      <c r="M69" s="22">
        <v>68999.72</v>
      </c>
      <c r="N69" s="22">
        <v>73145.8</v>
      </c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37"/>
      <c r="M70" s="52"/>
      <c r="N70" s="52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M72" s="1">
        <f t="shared" ref="M72:N72" si="10">SUM(M74:M79)/6</f>
        <v>56545.32167</v>
      </c>
      <c r="N72" s="1">
        <f t="shared" si="10"/>
        <v>65454.91167</v>
      </c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37"/>
      <c r="M73" s="26" t="s">
        <v>5</v>
      </c>
      <c r="N73" s="26" t="s">
        <v>5</v>
      </c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26" t="s">
        <v>122</v>
      </c>
      <c r="M74" s="22">
        <v>46264.07</v>
      </c>
      <c r="N74" s="22">
        <v>54647.08</v>
      </c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26" t="s">
        <v>122</v>
      </c>
      <c r="M75" s="22">
        <v>50316.24</v>
      </c>
      <c r="N75" s="22">
        <v>60934.71</v>
      </c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26" t="s">
        <v>139</v>
      </c>
      <c r="M76" s="22">
        <v>50558.29</v>
      </c>
      <c r="N76" s="22">
        <v>60931.05</v>
      </c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26" t="s">
        <v>139</v>
      </c>
      <c r="M77" s="22">
        <v>51323.99</v>
      </c>
      <c r="N77" s="22">
        <v>62181.27</v>
      </c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26" t="s">
        <v>146</v>
      </c>
      <c r="M78" s="22">
        <v>69510.52</v>
      </c>
      <c r="N78" s="22">
        <v>75891.41</v>
      </c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48" t="s">
        <v>146</v>
      </c>
      <c r="M79" s="60">
        <v>71298.82</v>
      </c>
      <c r="N79" s="60">
        <v>78143.95</v>
      </c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7">
    <mergeCell ref="B1:E1"/>
    <mergeCell ref="G1:J1"/>
    <mergeCell ref="P1:S1"/>
    <mergeCell ref="Q14:R14"/>
    <mergeCell ref="Q21:R21"/>
    <mergeCell ref="Q27:R27"/>
    <mergeCell ref="Q35:R35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5" width="13.75"/>
    <col customWidth="1" min="7" max="7" width="11.0"/>
    <col customWidth="1" min="8" max="8" width="18.38"/>
    <col customWidth="1" min="9" max="9" width="19.5"/>
    <col customWidth="1" min="10" max="10" width="18.13"/>
    <col customWidth="1" min="11" max="11" width="16.0"/>
    <col customWidth="1" min="13" max="14" width="15.75"/>
  </cols>
  <sheetData>
    <row r="1">
      <c r="A1" s="2" t="s">
        <v>0</v>
      </c>
      <c r="F1" s="4"/>
      <c r="G1" s="4"/>
      <c r="H1" s="2" t="s">
        <v>1</v>
      </c>
      <c r="L1" s="4"/>
      <c r="M1" s="4"/>
      <c r="N1" s="4"/>
      <c r="O1" s="4"/>
      <c r="P1" s="7" t="s">
        <v>1</v>
      </c>
      <c r="T1" s="4"/>
      <c r="U1" s="4"/>
      <c r="V1" s="4"/>
      <c r="W1" s="4"/>
      <c r="X1" s="4"/>
      <c r="Y1" s="4"/>
      <c r="Z1" s="4"/>
      <c r="AA1" s="4"/>
    </row>
    <row r="2">
      <c r="A2" s="4"/>
      <c r="B2" s="9" t="s">
        <v>2</v>
      </c>
      <c r="C2" s="9" t="s">
        <v>3</v>
      </c>
      <c r="D2" s="9" t="s">
        <v>4</v>
      </c>
      <c r="E2" s="9" t="s">
        <v>5</v>
      </c>
      <c r="F2" s="4"/>
      <c r="G2" s="4"/>
      <c r="H2" s="9" t="s">
        <v>2</v>
      </c>
      <c r="I2" s="9" t="s">
        <v>3</v>
      </c>
      <c r="J2" s="9" t="s">
        <v>4</v>
      </c>
      <c r="K2" s="9" t="s">
        <v>5</v>
      </c>
      <c r="L2" s="4"/>
      <c r="M2" s="4"/>
      <c r="N2" s="4"/>
      <c r="O2" s="4"/>
      <c r="P2" s="10"/>
      <c r="Q2" s="10"/>
      <c r="R2" s="10"/>
      <c r="S2" s="10"/>
      <c r="T2" s="10"/>
      <c r="U2" s="10"/>
      <c r="V2" s="4"/>
      <c r="W2" s="10"/>
      <c r="X2" s="4"/>
      <c r="Y2" s="4"/>
      <c r="Z2" s="4"/>
      <c r="AA2" s="4"/>
    </row>
    <row r="3">
      <c r="A3" s="10"/>
      <c r="B3" s="11">
        <v>0.0183</v>
      </c>
      <c r="C3" s="12">
        <v>0.036016</v>
      </c>
      <c r="D3" s="12">
        <v>0.123</v>
      </c>
      <c r="E3" s="12">
        <v>0.18119</v>
      </c>
      <c r="F3" s="4"/>
      <c r="G3" s="4"/>
      <c r="H3" s="14">
        <v>6.245</v>
      </c>
      <c r="I3" s="15">
        <v>13.56</v>
      </c>
      <c r="J3" s="15">
        <v>70.42</v>
      </c>
      <c r="K3" s="15">
        <v>81.63</v>
      </c>
      <c r="L3" s="4"/>
      <c r="M3" s="4"/>
      <c r="N3" s="4"/>
      <c r="O3" s="4"/>
      <c r="P3" s="10"/>
      <c r="Q3" s="10"/>
      <c r="R3" s="10"/>
      <c r="S3" s="10"/>
      <c r="T3" s="10"/>
      <c r="U3" s="10"/>
      <c r="V3" s="4"/>
      <c r="W3" s="10"/>
      <c r="X3" s="4"/>
      <c r="Y3" s="4"/>
      <c r="Z3" s="4"/>
      <c r="AA3" s="4"/>
    </row>
    <row r="4">
      <c r="A4" s="4"/>
      <c r="B4" s="12">
        <v>0.01865</v>
      </c>
      <c r="C4" s="12">
        <v>0.0423</v>
      </c>
      <c r="D4" s="12">
        <v>0.1428</v>
      </c>
      <c r="E4" s="12">
        <v>0.211</v>
      </c>
      <c r="F4" s="4"/>
      <c r="G4" s="4"/>
      <c r="H4" s="15">
        <v>6.4283</v>
      </c>
      <c r="I4" s="15">
        <v>17.172</v>
      </c>
      <c r="J4" s="15">
        <v>89.195</v>
      </c>
      <c r="K4" s="15">
        <v>103.142</v>
      </c>
      <c r="L4" s="4"/>
      <c r="M4" s="4"/>
      <c r="N4" s="4"/>
      <c r="O4" s="4"/>
      <c r="P4" s="10"/>
      <c r="Q4" s="10"/>
      <c r="R4" s="10"/>
      <c r="S4" s="10"/>
      <c r="T4" s="10"/>
      <c r="U4" s="10"/>
      <c r="V4" s="4"/>
      <c r="W4" s="10"/>
      <c r="X4" s="4"/>
      <c r="Y4" s="4"/>
      <c r="Z4" s="4"/>
      <c r="AA4" s="4"/>
    </row>
    <row r="5">
      <c r="A5" s="4"/>
      <c r="B5" s="12">
        <v>0.0292</v>
      </c>
      <c r="C5" s="12">
        <v>0.0589</v>
      </c>
      <c r="D5" s="12">
        <v>0.1231</v>
      </c>
      <c r="E5" s="12">
        <v>0.2051</v>
      </c>
      <c r="F5" s="4"/>
      <c r="G5" s="4"/>
      <c r="H5" s="15">
        <v>12.1142</v>
      </c>
      <c r="I5" s="15">
        <v>20.117</v>
      </c>
      <c r="J5" s="15">
        <v>76.68</v>
      </c>
      <c r="K5" s="15">
        <v>101.093</v>
      </c>
      <c r="L5" s="4"/>
      <c r="M5" s="4"/>
      <c r="N5" s="4"/>
      <c r="O5" s="4"/>
      <c r="P5" s="10"/>
      <c r="Q5" s="10"/>
      <c r="R5" s="10"/>
      <c r="S5" s="10"/>
      <c r="T5" s="10"/>
      <c r="U5" s="10"/>
      <c r="V5" s="4"/>
      <c r="W5" s="10"/>
      <c r="X5" s="4"/>
      <c r="Y5" s="4"/>
      <c r="Z5" s="4"/>
      <c r="AA5" s="4"/>
    </row>
    <row r="6">
      <c r="A6" s="4"/>
      <c r="B6" s="12">
        <v>0.0264</v>
      </c>
      <c r="C6" s="12">
        <v>0.046</v>
      </c>
      <c r="D6" s="12">
        <v>0.1346</v>
      </c>
      <c r="E6" s="16">
        <v>0.2115</v>
      </c>
      <c r="F6" s="4"/>
      <c r="G6" s="4"/>
      <c r="H6" s="15">
        <v>11.0075</v>
      </c>
      <c r="I6" s="15">
        <v>28.74</v>
      </c>
      <c r="J6" s="15">
        <v>88.266</v>
      </c>
      <c r="K6" s="17">
        <v>105.816</v>
      </c>
      <c r="L6" s="4"/>
      <c r="M6" s="4"/>
      <c r="N6" s="4"/>
      <c r="O6" s="4"/>
      <c r="P6" s="10"/>
      <c r="Q6" s="10"/>
      <c r="R6" s="10"/>
      <c r="S6" s="10"/>
      <c r="T6" s="10"/>
      <c r="U6" s="10"/>
      <c r="V6" s="4"/>
      <c r="W6" s="10"/>
      <c r="X6" s="4"/>
      <c r="Y6" s="4"/>
      <c r="Z6" s="4"/>
      <c r="AA6" s="4"/>
    </row>
    <row r="7">
      <c r="A7" s="4"/>
      <c r="B7" s="18"/>
      <c r="C7" s="18"/>
      <c r="D7" s="12">
        <v>0.0505</v>
      </c>
      <c r="E7" s="12">
        <v>0.0918</v>
      </c>
      <c r="F7" s="4"/>
      <c r="G7" s="4"/>
      <c r="H7" s="19"/>
      <c r="I7" s="19"/>
      <c r="J7" s="15">
        <v>31.5426</v>
      </c>
      <c r="K7" s="15">
        <v>62.1887</v>
      </c>
      <c r="L7" s="4"/>
      <c r="M7" s="4"/>
      <c r="N7" s="4"/>
      <c r="O7" s="4"/>
      <c r="P7" s="10"/>
      <c r="Q7" s="10"/>
      <c r="R7" s="4"/>
      <c r="S7" s="10"/>
      <c r="T7" s="10"/>
      <c r="U7" s="10"/>
      <c r="V7" s="4"/>
      <c r="W7" s="10"/>
      <c r="X7" s="4"/>
      <c r="Y7" s="4"/>
      <c r="Z7" s="4"/>
      <c r="AA7" s="4"/>
    </row>
    <row r="8">
      <c r="A8" s="4"/>
      <c r="B8" s="18"/>
      <c r="C8" s="18"/>
      <c r="D8" s="12">
        <v>0.0601</v>
      </c>
      <c r="E8" s="12">
        <v>0.096</v>
      </c>
      <c r="F8" s="4"/>
      <c r="G8" s="4"/>
      <c r="H8" s="19"/>
      <c r="I8" s="19"/>
      <c r="J8" s="15">
        <v>40.4081</v>
      </c>
      <c r="K8" s="15">
        <v>66.713</v>
      </c>
      <c r="L8" s="4"/>
      <c r="M8" s="4"/>
      <c r="N8" s="4"/>
      <c r="O8" s="4"/>
      <c r="P8" s="10"/>
      <c r="Q8" s="10"/>
      <c r="R8" s="4" t="s">
        <v>46</v>
      </c>
      <c r="S8" s="4" t="s">
        <v>47</v>
      </c>
      <c r="T8" s="4"/>
      <c r="U8" s="10"/>
      <c r="V8" s="4"/>
      <c r="W8" s="10"/>
      <c r="X8" s="4"/>
      <c r="Y8" s="4"/>
      <c r="Z8" s="4"/>
      <c r="AA8" s="4"/>
    </row>
    <row r="9">
      <c r="A9" s="9" t="s">
        <v>48</v>
      </c>
      <c r="B9" s="21">
        <f t="shared" ref="B9:E9" si="1">AVERAGE(B3:B8)</f>
        <v>0.0231375</v>
      </c>
      <c r="C9" s="21">
        <f t="shared" si="1"/>
        <v>0.045804</v>
      </c>
      <c r="D9" s="21">
        <f t="shared" si="1"/>
        <v>0.1056833333</v>
      </c>
      <c r="E9" s="21">
        <f t="shared" si="1"/>
        <v>0.1660983333</v>
      </c>
      <c r="F9" s="4"/>
      <c r="G9" s="9" t="s">
        <v>48</v>
      </c>
      <c r="H9" s="23">
        <f t="shared" ref="H9:K9" si="2">AVERAGE(H3:H8)</f>
        <v>8.94875</v>
      </c>
      <c r="I9" s="23">
        <f t="shared" si="2"/>
        <v>19.89725</v>
      </c>
      <c r="J9" s="23">
        <f t="shared" si="2"/>
        <v>66.08528333</v>
      </c>
      <c r="K9" s="23">
        <f t="shared" si="2"/>
        <v>86.76378333</v>
      </c>
      <c r="L9" s="4"/>
      <c r="M9" s="4"/>
      <c r="N9" s="4"/>
      <c r="O9" s="4"/>
      <c r="P9" s="10"/>
      <c r="Q9" s="4"/>
      <c r="R9" s="9" t="s">
        <v>2</v>
      </c>
      <c r="S9" s="9" t="s">
        <v>2</v>
      </c>
      <c r="T9" s="4"/>
      <c r="U9" s="4"/>
      <c r="V9" s="4"/>
      <c r="W9" s="4"/>
      <c r="X9" s="4"/>
      <c r="Y9" s="4"/>
      <c r="Z9" s="4"/>
      <c r="AA9" s="4" t="s">
        <v>2</v>
      </c>
    </row>
    <row r="10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10"/>
      <c r="Q10" s="28" t="s">
        <v>56</v>
      </c>
      <c r="R10" s="30">
        <v>35193.44</v>
      </c>
      <c r="S10" s="30">
        <v>35836.59</v>
      </c>
      <c r="T10" s="4"/>
      <c r="U10" s="4"/>
      <c r="V10" s="4"/>
      <c r="W10" s="4"/>
      <c r="X10" s="4"/>
      <c r="Y10" s="4"/>
      <c r="Z10" s="4"/>
      <c r="AA10" s="31" t="s">
        <v>61</v>
      </c>
    </row>
    <row r="1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10"/>
      <c r="Q11" s="9" t="s">
        <v>56</v>
      </c>
      <c r="R11" s="32">
        <v>35472.29</v>
      </c>
      <c r="S11" s="32">
        <v>36134.05</v>
      </c>
      <c r="T11" s="4"/>
      <c r="U11" s="4"/>
      <c r="V11" s="4"/>
      <c r="W11" s="4"/>
      <c r="X11" s="4"/>
      <c r="Y11" s="4"/>
      <c r="Z11" s="4"/>
      <c r="AA11" s="7" t="s">
        <v>67</v>
      </c>
    </row>
    <row r="12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10"/>
      <c r="Q12" s="9" t="s">
        <v>72</v>
      </c>
      <c r="R12" s="32">
        <v>42565.38</v>
      </c>
      <c r="S12" s="32">
        <v>43808.36</v>
      </c>
      <c r="T12" s="4"/>
      <c r="U12" s="4"/>
      <c r="V12" s="4"/>
      <c r="W12" s="4"/>
      <c r="X12" s="4"/>
      <c r="Y12" s="4"/>
      <c r="Z12" s="4"/>
      <c r="AA12" s="7" t="s">
        <v>75</v>
      </c>
    </row>
    <row r="1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35" t="s">
        <v>72</v>
      </c>
      <c r="R13" s="32">
        <v>42836.14</v>
      </c>
      <c r="S13" s="32">
        <v>43969.31</v>
      </c>
      <c r="T13" s="4"/>
      <c r="U13" s="4"/>
      <c r="V13" s="4"/>
      <c r="W13" s="4"/>
      <c r="X13" s="4"/>
      <c r="Y13" s="4"/>
      <c r="Z13" s="4"/>
      <c r="AA13" s="7" t="s">
        <v>82</v>
      </c>
    </row>
    <row r="14">
      <c r="A14" s="4"/>
      <c r="B14" s="2" t="s">
        <v>46</v>
      </c>
      <c r="F14" s="4"/>
      <c r="G14" s="4"/>
      <c r="H14" s="2" t="s">
        <v>83</v>
      </c>
      <c r="L14" s="10"/>
      <c r="M14" s="4"/>
      <c r="N14" s="4"/>
      <c r="O14" s="4"/>
      <c r="P14" s="10"/>
      <c r="Q14" s="4"/>
      <c r="R14" s="4"/>
      <c r="S14" s="10"/>
      <c r="T14" s="4"/>
      <c r="U14" s="4"/>
      <c r="V14" s="4"/>
      <c r="W14" s="4"/>
      <c r="X14" s="4"/>
      <c r="Y14" s="4"/>
      <c r="Z14" s="4"/>
      <c r="AA14" s="4"/>
    </row>
    <row r="15">
      <c r="A15" s="4"/>
      <c r="B15" s="9" t="s">
        <v>2</v>
      </c>
      <c r="C15" s="9" t="s">
        <v>3</v>
      </c>
      <c r="D15" s="9" t="s">
        <v>4</v>
      </c>
      <c r="E15" s="9" t="s">
        <v>5</v>
      </c>
      <c r="F15" s="4"/>
      <c r="G15" s="4"/>
      <c r="H15" s="9" t="s">
        <v>2</v>
      </c>
      <c r="I15" s="9" t="s">
        <v>3</v>
      </c>
      <c r="J15" s="9" t="s">
        <v>4</v>
      </c>
      <c r="K15" s="9" t="s">
        <v>5</v>
      </c>
      <c r="L15" s="10"/>
      <c r="M15" s="4"/>
      <c r="N15" s="4"/>
      <c r="O15" s="10"/>
      <c r="P15" s="10"/>
      <c r="Q15" s="4"/>
      <c r="R15" s="9" t="s">
        <v>3</v>
      </c>
      <c r="S15" s="9" t="s">
        <v>3</v>
      </c>
      <c r="T15" s="4"/>
      <c r="U15" s="4"/>
      <c r="V15" s="4"/>
      <c r="W15" s="4"/>
      <c r="X15" s="4"/>
      <c r="Y15" s="4"/>
      <c r="Z15" s="4"/>
      <c r="AA15" s="4" t="s">
        <v>3</v>
      </c>
    </row>
    <row r="16">
      <c r="A16" s="4"/>
      <c r="B16" s="38">
        <v>35193.44</v>
      </c>
      <c r="C16" s="39">
        <v>38776.57</v>
      </c>
      <c r="D16" s="39">
        <v>58776.88</v>
      </c>
      <c r="E16" s="39">
        <v>46264.07</v>
      </c>
      <c r="F16" s="4"/>
      <c r="G16" s="4"/>
      <c r="H16" s="30">
        <v>35505.96</v>
      </c>
      <c r="I16" s="32">
        <v>39456.65</v>
      </c>
      <c r="J16" s="32">
        <v>62157.52</v>
      </c>
      <c r="K16" s="32">
        <v>50250.84</v>
      </c>
      <c r="L16" s="40"/>
      <c r="M16" s="4"/>
      <c r="N16" s="4"/>
      <c r="O16" s="10"/>
      <c r="P16" s="40"/>
      <c r="Q16" s="9" t="s">
        <v>56</v>
      </c>
      <c r="R16" s="32">
        <v>38776.57</v>
      </c>
      <c r="S16" s="32">
        <v>40173.16</v>
      </c>
      <c r="T16" s="4"/>
      <c r="U16" s="4"/>
      <c r="V16" s="4"/>
      <c r="W16" s="4"/>
      <c r="X16" s="4"/>
      <c r="Y16" s="4"/>
      <c r="Z16" s="4"/>
      <c r="AA16" s="7" t="s">
        <v>90</v>
      </c>
    </row>
    <row r="17">
      <c r="A17" s="4"/>
      <c r="B17" s="39">
        <v>35472.29</v>
      </c>
      <c r="C17" s="39">
        <v>41834.52</v>
      </c>
      <c r="D17" s="39">
        <v>64308.27</v>
      </c>
      <c r="E17" s="39">
        <v>50316.24</v>
      </c>
      <c r="F17" s="4"/>
      <c r="G17" s="4"/>
      <c r="H17" s="32">
        <v>35798.85</v>
      </c>
      <c r="I17" s="32">
        <v>42689.07</v>
      </c>
      <c r="J17" s="32">
        <v>68585.81</v>
      </c>
      <c r="K17" s="32">
        <v>55144.17</v>
      </c>
      <c r="L17" s="40"/>
      <c r="M17" s="4"/>
      <c r="N17" s="4"/>
      <c r="O17" s="10"/>
      <c r="P17" s="40"/>
      <c r="Q17" s="9" t="s">
        <v>56</v>
      </c>
      <c r="R17" s="32">
        <v>41834.52</v>
      </c>
      <c r="S17" s="32">
        <v>43602.31</v>
      </c>
      <c r="T17" s="4"/>
      <c r="U17" s="4"/>
      <c r="V17" s="4"/>
      <c r="W17" s="4"/>
      <c r="X17" s="4"/>
      <c r="Y17" s="4"/>
      <c r="Z17" s="4"/>
      <c r="AA17" s="7" t="s">
        <v>94</v>
      </c>
    </row>
    <row r="18">
      <c r="A18" s="4"/>
      <c r="B18" s="39">
        <v>42565.38</v>
      </c>
      <c r="C18" s="39">
        <v>44945.88</v>
      </c>
      <c r="D18" s="39">
        <v>63913.45</v>
      </c>
      <c r="E18" s="39">
        <v>50558.29</v>
      </c>
      <c r="F18" s="4"/>
      <c r="G18" s="4"/>
      <c r="H18" s="32">
        <v>43403.36</v>
      </c>
      <c r="I18" s="32">
        <v>45970.8</v>
      </c>
      <c r="J18" s="32">
        <v>67628.87</v>
      </c>
      <c r="K18" s="32">
        <v>55469.48</v>
      </c>
      <c r="L18" s="40"/>
      <c r="M18" s="4"/>
      <c r="N18" s="4"/>
      <c r="O18" s="10"/>
      <c r="P18" s="40"/>
      <c r="Q18" s="41" t="s">
        <v>72</v>
      </c>
      <c r="R18" s="32">
        <v>44945.88</v>
      </c>
      <c r="S18" s="32">
        <v>47016.63</v>
      </c>
      <c r="T18" s="4"/>
      <c r="U18" s="4"/>
      <c r="V18" s="4"/>
      <c r="W18" s="4"/>
      <c r="X18" s="4"/>
      <c r="Y18" s="4"/>
      <c r="Z18" s="4"/>
      <c r="AA18" s="7" t="s">
        <v>100</v>
      </c>
    </row>
    <row r="19">
      <c r="A19" s="4"/>
      <c r="B19" s="39">
        <v>42836.14</v>
      </c>
      <c r="C19" s="39">
        <v>50240.54</v>
      </c>
      <c r="D19" s="39">
        <v>67246.67</v>
      </c>
      <c r="E19" s="39">
        <v>51323.99</v>
      </c>
      <c r="F19" s="4"/>
      <c r="G19" s="4"/>
      <c r="H19" s="32">
        <v>43425.87</v>
      </c>
      <c r="I19" s="32">
        <v>51675.16</v>
      </c>
      <c r="J19" s="32">
        <v>71368.29</v>
      </c>
      <c r="K19" s="32">
        <v>56398.7</v>
      </c>
      <c r="L19" s="40"/>
      <c r="M19" s="4"/>
      <c r="N19" s="4"/>
      <c r="O19" s="10"/>
      <c r="P19" s="40"/>
      <c r="Q19" s="41" t="s">
        <v>72</v>
      </c>
      <c r="R19" s="32">
        <v>50240.54</v>
      </c>
      <c r="S19" s="32">
        <v>53200.37</v>
      </c>
      <c r="T19" s="4"/>
      <c r="U19" s="4"/>
      <c r="V19" s="4"/>
      <c r="W19" s="4"/>
      <c r="X19" s="4"/>
      <c r="Y19" s="4"/>
      <c r="Z19" s="4"/>
      <c r="AA19" s="7" t="s">
        <v>105</v>
      </c>
    </row>
    <row r="20">
      <c r="A20" s="4"/>
      <c r="B20" s="42"/>
      <c r="C20" s="42"/>
      <c r="D20" s="39">
        <v>64057.6</v>
      </c>
      <c r="E20" s="39">
        <v>69510.52</v>
      </c>
      <c r="F20" s="4"/>
      <c r="G20" s="4"/>
      <c r="H20" s="43"/>
      <c r="I20" s="43"/>
      <c r="J20" s="32">
        <v>65652.62</v>
      </c>
      <c r="K20" s="32">
        <v>72601.73</v>
      </c>
      <c r="L20" s="10"/>
      <c r="M20" s="4"/>
      <c r="N20" s="10"/>
      <c r="O20" s="10"/>
      <c r="P20" s="10"/>
      <c r="Q20" s="10"/>
      <c r="R20" s="10"/>
      <c r="S20" s="4"/>
      <c r="T20" s="4"/>
      <c r="U20" s="4"/>
      <c r="V20" s="4"/>
      <c r="W20" s="4"/>
      <c r="X20" s="4"/>
      <c r="Y20" s="4"/>
      <c r="Z20" s="4"/>
      <c r="AA20" s="4"/>
    </row>
    <row r="21">
      <c r="A21" s="4"/>
      <c r="B21" s="42"/>
      <c r="C21" s="42"/>
      <c r="D21" s="39">
        <v>68999.72</v>
      </c>
      <c r="E21" s="44">
        <v>71298.82</v>
      </c>
      <c r="F21" s="4"/>
      <c r="G21" s="4"/>
      <c r="H21" s="43"/>
      <c r="I21" s="43"/>
      <c r="J21" s="32">
        <v>71031.7</v>
      </c>
      <c r="K21" s="45">
        <v>74542.27</v>
      </c>
      <c r="L21" s="10"/>
      <c r="M21" s="4"/>
      <c r="N21" s="4"/>
      <c r="O21" s="10"/>
      <c r="P21" s="10"/>
      <c r="Q21" s="4"/>
      <c r="R21" s="9" t="s">
        <v>4</v>
      </c>
      <c r="S21" s="9" t="s">
        <v>4</v>
      </c>
      <c r="T21" s="4"/>
      <c r="U21" s="4"/>
      <c r="V21" s="4"/>
      <c r="W21" s="4"/>
      <c r="X21" s="4"/>
      <c r="Y21" s="4"/>
      <c r="Z21" s="4"/>
      <c r="AA21" s="4" t="s">
        <v>4</v>
      </c>
    </row>
    <row r="22">
      <c r="A22" s="9" t="s">
        <v>48</v>
      </c>
      <c r="B22" s="46">
        <f t="shared" ref="B22:E22" si="3">AVERAGE(B16:B21)</f>
        <v>39016.8125</v>
      </c>
      <c r="C22" s="46">
        <f t="shared" si="3"/>
        <v>43949.3775</v>
      </c>
      <c r="D22" s="46">
        <f t="shared" si="3"/>
        <v>64550.43167</v>
      </c>
      <c r="E22" s="46">
        <f t="shared" si="3"/>
        <v>56545.32167</v>
      </c>
      <c r="F22" s="4"/>
      <c r="G22" s="9" t="s">
        <v>48</v>
      </c>
      <c r="H22" s="47">
        <f t="shared" ref="H22:K22" si="4">AVERAGE(H16:H21)</f>
        <v>39533.51</v>
      </c>
      <c r="I22" s="47">
        <f t="shared" si="4"/>
        <v>44947.92</v>
      </c>
      <c r="J22" s="47">
        <f t="shared" si="4"/>
        <v>67737.46833</v>
      </c>
      <c r="K22" s="47">
        <f t="shared" si="4"/>
        <v>60734.53167</v>
      </c>
      <c r="L22" s="40"/>
      <c r="M22" s="40"/>
      <c r="N22" s="4"/>
      <c r="O22" s="10"/>
      <c r="P22" s="40"/>
      <c r="Q22" s="9" t="s">
        <v>122</v>
      </c>
      <c r="R22" s="32">
        <v>58776.88</v>
      </c>
      <c r="S22" s="32">
        <v>66008.56</v>
      </c>
      <c r="T22" s="4"/>
      <c r="U22" s="4"/>
      <c r="V22" s="4"/>
      <c r="W22" s="4"/>
      <c r="X22" s="4"/>
      <c r="Y22" s="4"/>
      <c r="Z22" s="4"/>
      <c r="AA22" s="7" t="s">
        <v>125</v>
      </c>
    </row>
    <row r="2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0"/>
      <c r="M23" s="40"/>
      <c r="N23" s="4"/>
      <c r="O23" s="10"/>
      <c r="P23" s="40"/>
      <c r="Q23" s="9" t="s">
        <v>122</v>
      </c>
      <c r="R23" s="32">
        <v>64308.27</v>
      </c>
      <c r="S23" s="32">
        <v>73494.38</v>
      </c>
      <c r="T23" s="4"/>
      <c r="U23" s="4"/>
      <c r="V23" s="4"/>
      <c r="W23" s="4"/>
      <c r="X23" s="4"/>
      <c r="Y23" s="4"/>
      <c r="Z23" s="4"/>
      <c r="AA23" s="7" t="s">
        <v>134</v>
      </c>
    </row>
    <row r="24">
      <c r="A24" s="4"/>
      <c r="B24" s="2" t="s">
        <v>47</v>
      </c>
      <c r="F24" s="4"/>
      <c r="G24" s="4"/>
      <c r="H24" s="2" t="s">
        <v>49</v>
      </c>
      <c r="L24" s="40"/>
      <c r="M24" s="4"/>
      <c r="N24" s="4"/>
      <c r="O24" s="10"/>
      <c r="P24" s="40"/>
      <c r="Q24" s="41" t="s">
        <v>139</v>
      </c>
      <c r="R24" s="32">
        <v>63913.45</v>
      </c>
      <c r="S24" s="32">
        <v>71781.25</v>
      </c>
      <c r="T24" s="4"/>
      <c r="U24" s="4"/>
      <c r="V24" s="4"/>
      <c r="W24" s="4"/>
      <c r="X24" s="4"/>
      <c r="Y24" s="4"/>
      <c r="Z24" s="4"/>
      <c r="AA24" s="7" t="s">
        <v>141</v>
      </c>
    </row>
    <row r="25">
      <c r="A25" s="4"/>
      <c r="B25" s="9" t="s">
        <v>2</v>
      </c>
      <c r="C25" s="9" t="s">
        <v>3</v>
      </c>
      <c r="D25" s="9" t="s">
        <v>4</v>
      </c>
      <c r="E25" s="9" t="s">
        <v>5</v>
      </c>
      <c r="F25" s="4"/>
      <c r="G25" s="4"/>
      <c r="H25" s="9" t="s">
        <v>2</v>
      </c>
      <c r="I25" s="9" t="s">
        <v>3</v>
      </c>
      <c r="J25" s="9" t="s">
        <v>4</v>
      </c>
      <c r="K25" s="9" t="s">
        <v>5</v>
      </c>
      <c r="L25" s="40"/>
      <c r="M25" s="4"/>
      <c r="N25" s="4"/>
      <c r="O25" s="10"/>
      <c r="P25" s="40"/>
      <c r="Q25" s="41" t="s">
        <v>139</v>
      </c>
      <c r="R25" s="32">
        <v>67246.67</v>
      </c>
      <c r="S25" s="32">
        <v>76303.3</v>
      </c>
      <c r="T25" s="4"/>
      <c r="U25" s="4"/>
      <c r="V25" s="4"/>
      <c r="W25" s="4"/>
      <c r="X25" s="4"/>
      <c r="Y25" s="4"/>
      <c r="Z25" s="4"/>
      <c r="AA25" s="7" t="s">
        <v>145</v>
      </c>
    </row>
    <row r="26">
      <c r="A26" s="4"/>
      <c r="B26" s="30">
        <v>35836.59</v>
      </c>
      <c r="C26" s="32">
        <v>40173.16</v>
      </c>
      <c r="D26" s="32">
        <v>66008.56</v>
      </c>
      <c r="E26" s="32">
        <v>54647.08</v>
      </c>
      <c r="F26" s="4"/>
      <c r="G26" s="4"/>
      <c r="H26" s="30">
        <f t="shared" ref="H26:K26" si="5">B26-B16</f>
        <v>643.15</v>
      </c>
      <c r="I26" s="32">
        <f t="shared" si="5"/>
        <v>1396.59</v>
      </c>
      <c r="J26" s="32">
        <f t="shared" si="5"/>
        <v>7231.68</v>
      </c>
      <c r="K26" s="32">
        <f t="shared" si="5"/>
        <v>8383.01</v>
      </c>
      <c r="L26" s="10"/>
      <c r="M26" s="10"/>
      <c r="N26" s="10"/>
      <c r="O26" s="10"/>
      <c r="P26" s="10"/>
      <c r="Q26" s="35" t="s">
        <v>146</v>
      </c>
      <c r="R26" s="32">
        <v>64057.6</v>
      </c>
      <c r="S26" s="32">
        <v>67294.04</v>
      </c>
      <c r="T26" s="4"/>
      <c r="U26" s="4"/>
      <c r="V26" s="4"/>
      <c r="W26" s="4"/>
      <c r="X26" s="4"/>
      <c r="Y26" s="4"/>
      <c r="Z26" s="4"/>
      <c r="AA26" s="7" t="s">
        <v>148</v>
      </c>
    </row>
    <row r="27">
      <c r="A27" s="4"/>
      <c r="B27" s="32">
        <v>36134.05</v>
      </c>
      <c r="C27" s="32">
        <v>43602.31</v>
      </c>
      <c r="D27" s="32">
        <v>73494.38</v>
      </c>
      <c r="E27" s="32">
        <v>60934.71</v>
      </c>
      <c r="F27" s="4"/>
      <c r="G27" s="4"/>
      <c r="H27" s="32">
        <f t="shared" ref="H27:K27" si="6">B27-B17</f>
        <v>661.76</v>
      </c>
      <c r="I27" s="32">
        <f t="shared" si="6"/>
        <v>1767.79</v>
      </c>
      <c r="J27" s="32">
        <f t="shared" si="6"/>
        <v>9186.11</v>
      </c>
      <c r="K27" s="32">
        <f t="shared" si="6"/>
        <v>10618.47</v>
      </c>
      <c r="L27" s="10"/>
      <c r="M27" s="4"/>
      <c r="N27" s="4"/>
      <c r="O27" s="10"/>
      <c r="P27" s="10"/>
      <c r="Q27" s="9" t="s">
        <v>146</v>
      </c>
      <c r="R27" s="32">
        <v>68999.72</v>
      </c>
      <c r="S27" s="32">
        <v>73145.8</v>
      </c>
      <c r="T27" s="4"/>
      <c r="U27" s="4"/>
      <c r="V27" s="4"/>
      <c r="W27" s="4"/>
      <c r="X27" s="4"/>
      <c r="Y27" s="4"/>
      <c r="Z27" s="4"/>
      <c r="AA27" s="7" t="s">
        <v>150</v>
      </c>
    </row>
    <row r="28">
      <c r="A28" s="4"/>
      <c r="B28" s="32">
        <v>43808.36</v>
      </c>
      <c r="C28" s="32">
        <v>47016.63</v>
      </c>
      <c r="D28" s="32">
        <v>71781.25</v>
      </c>
      <c r="E28" s="32">
        <v>60931.05</v>
      </c>
      <c r="F28" s="4"/>
      <c r="G28" s="4"/>
      <c r="H28" s="32">
        <f t="shared" ref="H28:K28" si="7">B28-B18</f>
        <v>1242.98</v>
      </c>
      <c r="I28" s="32">
        <f t="shared" si="7"/>
        <v>2070.75</v>
      </c>
      <c r="J28" s="32">
        <f t="shared" si="7"/>
        <v>7867.8</v>
      </c>
      <c r="K28" s="32">
        <f t="shared" si="7"/>
        <v>10372.76</v>
      </c>
      <c r="L28" s="40"/>
      <c r="M28" s="4"/>
      <c r="N28" s="4"/>
      <c r="O28" s="10"/>
      <c r="P28" s="40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</row>
    <row r="29">
      <c r="A29" s="4"/>
      <c r="B29" s="32">
        <v>43969.31</v>
      </c>
      <c r="C29" s="32">
        <v>53200.37</v>
      </c>
      <c r="D29" s="32">
        <v>76303.3</v>
      </c>
      <c r="E29" s="32">
        <v>62181.27</v>
      </c>
      <c r="F29" s="4"/>
      <c r="G29" s="4"/>
      <c r="H29" s="32">
        <f t="shared" ref="H29:K29" si="8">B29-B19</f>
        <v>1133.17</v>
      </c>
      <c r="I29" s="32">
        <f t="shared" si="8"/>
        <v>2959.83</v>
      </c>
      <c r="J29" s="32">
        <f t="shared" si="8"/>
        <v>9056.63</v>
      </c>
      <c r="K29" s="45">
        <f t="shared" si="8"/>
        <v>10857.28</v>
      </c>
      <c r="L29" s="40"/>
      <c r="M29" s="4"/>
      <c r="N29" s="4"/>
      <c r="O29" s="10"/>
      <c r="P29" s="40"/>
      <c r="Q29" s="4"/>
      <c r="R29" s="9" t="s">
        <v>5</v>
      </c>
      <c r="S29" s="9" t="s">
        <v>5</v>
      </c>
      <c r="T29" s="4"/>
      <c r="U29" s="4"/>
      <c r="V29" s="4"/>
      <c r="W29" s="4"/>
      <c r="X29" s="4"/>
      <c r="Y29" s="4"/>
      <c r="Z29" s="4"/>
      <c r="AA29" s="4" t="s">
        <v>5</v>
      </c>
    </row>
    <row r="30">
      <c r="A30" s="4"/>
      <c r="B30" s="43"/>
      <c r="C30" s="43"/>
      <c r="D30" s="32">
        <v>67294.04</v>
      </c>
      <c r="E30" s="32">
        <v>75891.41</v>
      </c>
      <c r="F30" s="4"/>
      <c r="G30" s="4"/>
      <c r="H30" s="7"/>
      <c r="I30" s="7"/>
      <c r="J30" s="32">
        <f t="shared" ref="J30:K30" si="9">D30-D20</f>
        <v>3236.44</v>
      </c>
      <c r="K30" s="32">
        <f t="shared" si="9"/>
        <v>6380.89</v>
      </c>
      <c r="L30" s="40"/>
      <c r="M30" s="4"/>
      <c r="N30" s="4"/>
      <c r="O30" s="10"/>
      <c r="P30" s="40"/>
      <c r="Q30" s="41" t="s">
        <v>122</v>
      </c>
      <c r="R30" s="32">
        <v>46264.07</v>
      </c>
      <c r="S30" s="32">
        <v>54647.08</v>
      </c>
      <c r="T30" s="4"/>
      <c r="U30" s="4"/>
      <c r="V30" s="4"/>
      <c r="W30" s="4"/>
      <c r="X30" s="4"/>
      <c r="Y30" s="4"/>
      <c r="Z30" s="4"/>
      <c r="AA30" s="7" t="s">
        <v>153</v>
      </c>
    </row>
    <row r="31">
      <c r="A31" s="4"/>
      <c r="B31" s="43"/>
      <c r="C31" s="43"/>
      <c r="D31" s="32">
        <v>73145.8</v>
      </c>
      <c r="E31" s="45">
        <v>78143.95</v>
      </c>
      <c r="F31" s="4"/>
      <c r="G31" s="4"/>
      <c r="H31" s="7"/>
      <c r="I31" s="7"/>
      <c r="J31" s="32">
        <f t="shared" ref="J31:K31" si="10">D31-D21</f>
        <v>4146.08</v>
      </c>
      <c r="K31" s="32">
        <f t="shared" si="10"/>
        <v>6845.13</v>
      </c>
      <c r="L31" s="40"/>
      <c r="M31" s="4"/>
      <c r="N31" s="4"/>
      <c r="O31" s="4"/>
      <c r="P31" s="40"/>
      <c r="Q31" s="41" t="s">
        <v>122</v>
      </c>
      <c r="R31" s="32">
        <v>50316.24</v>
      </c>
      <c r="S31" s="32">
        <v>60934.71</v>
      </c>
      <c r="T31" s="4"/>
      <c r="U31" s="4"/>
      <c r="V31" s="4"/>
      <c r="W31" s="4"/>
      <c r="X31" s="4"/>
      <c r="Y31" s="4"/>
      <c r="Z31" s="4"/>
      <c r="AA31" s="7" t="s">
        <v>156</v>
      </c>
    </row>
    <row r="32">
      <c r="A32" s="9" t="s">
        <v>48</v>
      </c>
      <c r="B32" s="46">
        <f t="shared" ref="B32:E32" si="11">AVERAGE(B26:B31)</f>
        <v>39937.0775</v>
      </c>
      <c r="C32" s="46">
        <f t="shared" si="11"/>
        <v>45998.1175</v>
      </c>
      <c r="D32" s="46">
        <f t="shared" si="11"/>
        <v>71337.88833</v>
      </c>
      <c r="E32" s="46">
        <f t="shared" si="11"/>
        <v>65454.91167</v>
      </c>
      <c r="F32" s="4"/>
      <c r="G32" s="9" t="s">
        <v>48</v>
      </c>
      <c r="H32" s="47">
        <f t="shared" ref="H32:K32" si="12">AVERAGE(H26:H31)</f>
        <v>920.265</v>
      </c>
      <c r="I32" s="47">
        <f t="shared" si="12"/>
        <v>2048.74</v>
      </c>
      <c r="J32" s="47">
        <f t="shared" si="12"/>
        <v>6787.456667</v>
      </c>
      <c r="K32" s="47">
        <f t="shared" si="12"/>
        <v>8909.59</v>
      </c>
      <c r="L32" s="40"/>
      <c r="M32" s="4"/>
      <c r="N32" s="4"/>
      <c r="O32" s="4"/>
      <c r="P32" s="40"/>
      <c r="Q32" s="41" t="s">
        <v>139</v>
      </c>
      <c r="R32" s="32">
        <v>50558.29</v>
      </c>
      <c r="S32" s="32">
        <v>60931.05</v>
      </c>
      <c r="T32" s="4"/>
      <c r="U32" s="4"/>
      <c r="V32" s="4"/>
      <c r="W32" s="4"/>
      <c r="X32" s="4"/>
      <c r="Y32" s="4"/>
      <c r="Z32" s="4"/>
      <c r="AA32" s="7" t="s">
        <v>159</v>
      </c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0"/>
      <c r="M33" s="4"/>
      <c r="N33" s="4"/>
      <c r="O33" s="4"/>
      <c r="P33" s="40"/>
      <c r="Q33" s="41" t="s">
        <v>139</v>
      </c>
      <c r="R33" s="32">
        <v>51323.99</v>
      </c>
      <c r="S33" s="32">
        <v>62181.27</v>
      </c>
      <c r="T33" s="4"/>
      <c r="U33" s="4"/>
      <c r="V33" s="4"/>
      <c r="W33" s="4"/>
      <c r="X33" s="4"/>
      <c r="Y33" s="4"/>
      <c r="Z33" s="4"/>
      <c r="AA33" s="50" t="s">
        <v>162</v>
      </c>
    </row>
    <row r="34">
      <c r="A34" s="2" t="s">
        <v>169</v>
      </c>
      <c r="H34" s="4"/>
      <c r="I34" s="4"/>
      <c r="J34" s="4"/>
      <c r="K34" s="4"/>
      <c r="L34" s="10"/>
      <c r="M34" s="4"/>
      <c r="N34" s="4"/>
      <c r="O34" s="4"/>
      <c r="P34" s="10"/>
      <c r="Q34" s="35" t="s">
        <v>146</v>
      </c>
      <c r="R34" s="32">
        <v>69510.52</v>
      </c>
      <c r="S34" s="32">
        <v>75891.41</v>
      </c>
      <c r="T34" s="4"/>
      <c r="U34" s="4"/>
      <c r="V34" s="4"/>
      <c r="W34" s="4"/>
      <c r="X34" s="4"/>
      <c r="Y34" s="4"/>
      <c r="Z34" s="4"/>
      <c r="AA34" s="7" t="s">
        <v>165</v>
      </c>
    </row>
    <row r="35">
      <c r="A35" s="4"/>
      <c r="B35" s="9" t="s">
        <v>2</v>
      </c>
      <c r="D35" s="4"/>
      <c r="E35" s="4"/>
      <c r="F35" s="9" t="s">
        <v>3</v>
      </c>
      <c r="H35" s="4"/>
      <c r="I35" s="4"/>
      <c r="J35" s="4"/>
      <c r="K35" s="4"/>
      <c r="L35" s="10"/>
      <c r="M35" s="4"/>
      <c r="N35" s="4"/>
      <c r="O35" s="4"/>
      <c r="P35" s="10"/>
      <c r="Q35" s="53" t="s">
        <v>146</v>
      </c>
      <c r="R35" s="45">
        <v>71298.82</v>
      </c>
      <c r="S35" s="45">
        <v>78143.95</v>
      </c>
      <c r="T35" s="4"/>
      <c r="U35" s="4"/>
      <c r="V35" s="4"/>
      <c r="W35" s="4"/>
      <c r="X35" s="4"/>
      <c r="Y35" s="4"/>
      <c r="Z35" s="4"/>
      <c r="AA35" s="7" t="s">
        <v>168</v>
      </c>
    </row>
    <row r="36">
      <c r="A36" s="4"/>
      <c r="B36" s="54" t="s">
        <v>58</v>
      </c>
      <c r="C36" s="54" t="s">
        <v>59</v>
      </c>
      <c r="D36" s="4"/>
      <c r="E36" s="4"/>
      <c r="F36" s="54" t="s">
        <v>92</v>
      </c>
      <c r="G36" s="54" t="s">
        <v>93</v>
      </c>
      <c r="H36" s="4"/>
      <c r="I36" s="4"/>
      <c r="J36" s="4" t="s">
        <v>169</v>
      </c>
      <c r="K36" s="4" t="s">
        <v>51</v>
      </c>
      <c r="L36" s="40"/>
      <c r="M36" s="4"/>
      <c r="N36" s="4"/>
      <c r="O36" s="4"/>
      <c r="P36" s="40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</row>
    <row r="37">
      <c r="A37" s="4"/>
      <c r="B37" s="31" t="s">
        <v>66</v>
      </c>
      <c r="C37" s="55" t="s">
        <v>68</v>
      </c>
      <c r="D37" s="4"/>
      <c r="E37" s="4"/>
      <c r="F37" s="54" t="s">
        <v>96</v>
      </c>
      <c r="G37" s="54" t="s">
        <v>97</v>
      </c>
      <c r="H37" s="4"/>
      <c r="I37" s="4"/>
      <c r="J37" s="4"/>
      <c r="K37" s="4"/>
      <c r="L37" s="40"/>
      <c r="M37" s="4"/>
      <c r="N37" s="4"/>
      <c r="O37" s="4"/>
      <c r="P37" s="40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</row>
    <row r="38">
      <c r="A38" s="4"/>
      <c r="B38" s="54">
        <v>8.78</v>
      </c>
      <c r="C38" s="54" t="s">
        <v>77</v>
      </c>
      <c r="D38" s="4"/>
      <c r="E38" s="4"/>
      <c r="F38" s="55">
        <v>6.32</v>
      </c>
      <c r="G38" s="55" t="s">
        <v>99</v>
      </c>
      <c r="H38" s="4"/>
      <c r="I38" s="4"/>
      <c r="J38" s="4"/>
      <c r="K38" s="4"/>
      <c r="L38" s="40"/>
      <c r="M38" s="4"/>
      <c r="N38" s="4"/>
      <c r="O38" s="4"/>
      <c r="P38" s="40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</row>
    <row r="39">
      <c r="A39" s="4"/>
      <c r="B39" s="54">
        <v>22.52</v>
      </c>
      <c r="C39" s="54" t="s">
        <v>85</v>
      </c>
      <c r="D39" s="4"/>
      <c r="E39" s="4"/>
      <c r="F39" s="54">
        <v>9.99</v>
      </c>
      <c r="G39" s="54" t="s">
        <v>104</v>
      </c>
      <c r="H39" s="4"/>
      <c r="I39" s="4"/>
      <c r="J39" s="4"/>
      <c r="K39" s="4"/>
      <c r="L39" s="40"/>
      <c r="M39" s="4"/>
      <c r="N39" s="4"/>
      <c r="O39" s="4"/>
      <c r="P39" s="40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</row>
    <row r="40">
      <c r="A40" s="9" t="s">
        <v>48</v>
      </c>
      <c r="B40" s="47">
        <f>AVERAGE(B35:B39)</f>
        <v>15.65</v>
      </c>
      <c r="C40" s="4"/>
      <c r="D40" s="4"/>
      <c r="E40" s="9" t="s">
        <v>48</v>
      </c>
      <c r="F40" s="47">
        <f>AVERAGE(F34:F39)</f>
        <v>8.155</v>
      </c>
      <c r="G40" s="4"/>
      <c r="H40" s="4"/>
      <c r="I40" s="4"/>
      <c r="J40" s="4"/>
      <c r="K40" s="4"/>
      <c r="L40" s="40"/>
      <c r="M40" s="4"/>
      <c r="N40" s="4"/>
      <c r="O40" s="4"/>
      <c r="P40" s="40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0"/>
      <c r="M41" s="4"/>
      <c r="N41" s="4"/>
      <c r="O41" s="4"/>
      <c r="P41" s="40"/>
      <c r="Q41" s="4"/>
      <c r="R41" s="4" t="s">
        <v>46</v>
      </c>
      <c r="S41" s="4" t="s">
        <v>47</v>
      </c>
      <c r="T41" s="4"/>
      <c r="U41" s="4"/>
      <c r="V41" s="4"/>
      <c r="W41" s="4"/>
      <c r="X41" s="4"/>
      <c r="Y41" s="4"/>
      <c r="Z41" s="4"/>
      <c r="AA41" s="4"/>
    </row>
    <row r="42">
      <c r="A42" s="4"/>
      <c r="B42" s="9" t="s">
        <v>4</v>
      </c>
      <c r="D42" s="4"/>
      <c r="E42" s="4"/>
      <c r="F42" s="9" t="s">
        <v>5</v>
      </c>
      <c r="H42" s="4"/>
      <c r="I42" s="4"/>
      <c r="J42" s="4"/>
      <c r="K42" s="4"/>
      <c r="L42" s="4"/>
      <c r="M42" s="4"/>
      <c r="N42" s="4"/>
      <c r="O42" s="4"/>
      <c r="P42" s="4"/>
      <c r="Q42" s="4"/>
      <c r="R42" s="9" t="s">
        <v>2</v>
      </c>
      <c r="S42" s="9" t="s">
        <v>2</v>
      </c>
      <c r="T42" s="4"/>
      <c r="U42" s="4"/>
      <c r="V42" s="4"/>
      <c r="W42" s="4"/>
      <c r="X42" s="4"/>
      <c r="Y42" s="4"/>
      <c r="Z42" s="4"/>
      <c r="AA42" s="4"/>
    </row>
    <row r="43">
      <c r="A43" s="4"/>
      <c r="B43" s="55" t="s">
        <v>123</v>
      </c>
      <c r="C43" s="55" t="s">
        <v>124</v>
      </c>
      <c r="D43" s="4"/>
      <c r="E43" s="4"/>
      <c r="F43" s="56">
        <v>151.02</v>
      </c>
      <c r="G43" s="55" t="s">
        <v>152</v>
      </c>
      <c r="H43" s="4"/>
      <c r="I43" s="4"/>
      <c r="J43" s="4"/>
      <c r="K43" s="4"/>
      <c r="L43" s="4"/>
      <c r="M43" s="4"/>
      <c r="N43" s="4"/>
      <c r="O43" s="4"/>
      <c r="P43" s="4"/>
      <c r="Q43" s="28" t="s">
        <v>56</v>
      </c>
      <c r="R43" s="30">
        <v>35193.44</v>
      </c>
      <c r="S43" s="30">
        <v>35836.59</v>
      </c>
      <c r="T43" s="4"/>
      <c r="U43" s="4"/>
      <c r="V43" s="4"/>
      <c r="W43" s="4"/>
      <c r="X43" s="4"/>
      <c r="Y43" s="4"/>
      <c r="Z43" s="4"/>
      <c r="AA43" s="4"/>
    </row>
    <row r="44">
      <c r="A44" s="4"/>
      <c r="B44" s="54" t="s">
        <v>132</v>
      </c>
      <c r="C44" s="54" t="s">
        <v>133</v>
      </c>
      <c r="D44" s="4"/>
      <c r="E44" s="4"/>
      <c r="F44" s="56">
        <v>125.19</v>
      </c>
      <c r="G44" s="55" t="s">
        <v>155</v>
      </c>
      <c r="H44" s="4"/>
      <c r="I44" s="4"/>
      <c r="J44" s="4"/>
      <c r="K44" s="4"/>
      <c r="L44" s="4"/>
      <c r="M44" s="4"/>
      <c r="N44" s="4"/>
      <c r="O44" s="4"/>
      <c r="P44" s="4"/>
      <c r="Q44" s="9" t="s">
        <v>56</v>
      </c>
      <c r="R44" s="32">
        <v>35472.29</v>
      </c>
      <c r="S44" s="32">
        <v>36134.05</v>
      </c>
      <c r="T44" s="4"/>
      <c r="U44" s="4"/>
      <c r="V44" s="4"/>
      <c r="W44" s="4"/>
      <c r="X44" s="4"/>
      <c r="Y44" s="4"/>
      <c r="Z44" s="4"/>
      <c r="AA44" s="4"/>
    </row>
    <row r="45">
      <c r="A45" s="4"/>
      <c r="B45" s="54">
        <v>34.74</v>
      </c>
      <c r="C45" s="54" t="s">
        <v>140</v>
      </c>
      <c r="D45" s="4"/>
      <c r="E45" s="4"/>
      <c r="F45" s="57">
        <v>206.34</v>
      </c>
      <c r="G45" s="55" t="s">
        <v>158</v>
      </c>
      <c r="H45" s="4"/>
      <c r="I45" s="4"/>
      <c r="J45" s="4"/>
      <c r="K45" s="4"/>
      <c r="L45" s="4"/>
      <c r="M45" s="4"/>
      <c r="N45" s="4"/>
      <c r="O45" s="4"/>
      <c r="P45" s="4"/>
      <c r="Q45" s="9" t="s">
        <v>72</v>
      </c>
      <c r="R45" s="32">
        <v>42565.38</v>
      </c>
      <c r="S45" s="32">
        <v>43808.36</v>
      </c>
      <c r="T45" s="4"/>
      <c r="U45" s="4"/>
      <c r="V45" s="4"/>
      <c r="W45" s="4"/>
      <c r="X45" s="4"/>
      <c r="Y45" s="4"/>
      <c r="Z45" s="4"/>
      <c r="AA45" s="4"/>
    </row>
    <row r="46">
      <c r="A46" s="4"/>
      <c r="B46" s="54">
        <v>24.84</v>
      </c>
      <c r="C46" s="54" t="s">
        <v>144</v>
      </c>
      <c r="D46" s="4"/>
      <c r="E46" s="4"/>
      <c r="F46" s="56">
        <v>180.95</v>
      </c>
      <c r="G46" s="55" t="s">
        <v>161</v>
      </c>
      <c r="H46" s="4"/>
      <c r="I46" s="4"/>
      <c r="J46" s="4"/>
      <c r="K46" s="4"/>
      <c r="L46" s="4"/>
      <c r="M46" s="4"/>
      <c r="N46" s="4"/>
      <c r="O46" s="4"/>
      <c r="P46" s="4"/>
      <c r="Q46" s="9" t="s">
        <v>72</v>
      </c>
      <c r="R46" s="32">
        <v>42836.14</v>
      </c>
      <c r="S46" s="32">
        <v>43969.31</v>
      </c>
      <c r="T46" s="4"/>
      <c r="U46" s="4"/>
      <c r="V46" s="4"/>
      <c r="W46" s="4"/>
      <c r="X46" s="4"/>
      <c r="Y46" s="4"/>
      <c r="Z46" s="4"/>
      <c r="AA46" s="4"/>
    </row>
    <row r="47">
      <c r="A47" s="4"/>
      <c r="B47" s="54">
        <v>10.95</v>
      </c>
      <c r="C47" s="54" t="s">
        <v>147</v>
      </c>
      <c r="D47" s="4"/>
      <c r="E47" s="4"/>
      <c r="F47" s="58">
        <v>13.85</v>
      </c>
      <c r="G47" s="54" t="s">
        <v>164</v>
      </c>
      <c r="H47" s="4"/>
      <c r="I47" s="4"/>
      <c r="J47" s="4"/>
      <c r="K47" s="4"/>
      <c r="L47" s="10"/>
      <c r="M47" s="4"/>
      <c r="N47" s="4"/>
      <c r="O47" s="4"/>
      <c r="P47" s="4"/>
      <c r="Q47" s="9" t="s">
        <v>170</v>
      </c>
      <c r="R47" s="9">
        <f t="shared" ref="R47:S47" si="13">SUM(R43:R46)/4</f>
        <v>39016.8125</v>
      </c>
      <c r="S47" s="9">
        <f t="shared" si="13"/>
        <v>39937.0775</v>
      </c>
      <c r="T47" s="4"/>
      <c r="U47" s="4"/>
      <c r="V47" s="4"/>
      <c r="W47" s="4"/>
      <c r="X47" s="4"/>
      <c r="Y47" s="4"/>
      <c r="Z47" s="4"/>
      <c r="AA47" s="4"/>
    </row>
    <row r="48">
      <c r="A48" s="4"/>
      <c r="B48" s="54">
        <v>10.42</v>
      </c>
      <c r="C48" s="54" t="s">
        <v>149</v>
      </c>
      <c r="D48" s="4"/>
      <c r="E48" s="4"/>
      <c r="F48" s="58">
        <v>14.11</v>
      </c>
      <c r="G48" s="54" t="s">
        <v>167</v>
      </c>
      <c r="H48" s="4"/>
      <c r="I48" s="4"/>
      <c r="J48" s="4"/>
      <c r="K48" s="4"/>
      <c r="L48" s="10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</row>
    <row r="49">
      <c r="A49" s="9" t="s">
        <v>48</v>
      </c>
      <c r="B49" s="47">
        <f>AVERAGE(B43:B48)</f>
        <v>20.2375</v>
      </c>
      <c r="C49" s="4"/>
      <c r="D49" s="4"/>
      <c r="E49" s="9" t="s">
        <v>48</v>
      </c>
      <c r="F49" s="59">
        <f>AVERAGE(F43:F48)</f>
        <v>115.2433333</v>
      </c>
      <c r="G49" s="4"/>
      <c r="H49" s="4"/>
      <c r="I49" s="4"/>
      <c r="J49" s="4"/>
      <c r="K49" s="4"/>
      <c r="L49" s="40"/>
      <c r="M49" s="40"/>
      <c r="N49" s="40"/>
      <c r="O49" s="4"/>
      <c r="P49" s="4"/>
      <c r="Q49" s="4"/>
      <c r="R49" s="9" t="s">
        <v>3</v>
      </c>
      <c r="S49" s="9" t="s">
        <v>3</v>
      </c>
      <c r="T49" s="4"/>
      <c r="U49" s="4"/>
      <c r="V49" s="4"/>
      <c r="W49" s="4"/>
      <c r="X49" s="4"/>
      <c r="Y49" s="4"/>
      <c r="Z49" s="4"/>
      <c r="AA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0"/>
      <c r="M50" s="40"/>
      <c r="N50" s="40"/>
      <c r="O50" s="4"/>
      <c r="P50" s="4"/>
      <c r="Q50" s="9" t="s">
        <v>56</v>
      </c>
      <c r="R50" s="32">
        <v>38776.57</v>
      </c>
      <c r="S50" s="32">
        <v>40173.16</v>
      </c>
      <c r="T50" s="4"/>
      <c r="U50" s="4"/>
      <c r="V50" s="4"/>
      <c r="W50" s="4"/>
      <c r="X50" s="4"/>
      <c r="Y50" s="4"/>
      <c r="Z50" s="4"/>
      <c r="AA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0"/>
      <c r="M51" s="40"/>
      <c r="N51" s="40"/>
      <c r="O51" s="4"/>
      <c r="P51" s="4"/>
      <c r="Q51" s="9" t="s">
        <v>56</v>
      </c>
      <c r="R51" s="32">
        <v>41834.52</v>
      </c>
      <c r="S51" s="32">
        <v>43602.31</v>
      </c>
      <c r="T51" s="4"/>
      <c r="U51" s="4"/>
      <c r="V51" s="4"/>
      <c r="W51" s="4"/>
      <c r="X51" s="4"/>
      <c r="Y51" s="4"/>
      <c r="Z51" s="4"/>
      <c r="AA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0"/>
      <c r="M52" s="40"/>
      <c r="N52" s="40"/>
      <c r="O52" s="4"/>
      <c r="P52" s="4"/>
      <c r="Q52" s="9" t="s">
        <v>72</v>
      </c>
      <c r="R52" s="32">
        <v>44945.88</v>
      </c>
      <c r="S52" s="32">
        <v>47016.63</v>
      </c>
      <c r="T52" s="4"/>
      <c r="U52" s="4"/>
      <c r="V52" s="4"/>
      <c r="W52" s="4"/>
      <c r="X52" s="4"/>
      <c r="Y52" s="4"/>
      <c r="Z52" s="4"/>
      <c r="AA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10"/>
      <c r="M53" s="40"/>
      <c r="N53" s="10"/>
      <c r="O53" s="4"/>
      <c r="P53" s="4"/>
      <c r="Q53" s="9" t="s">
        <v>72</v>
      </c>
      <c r="R53" s="32">
        <v>50240.54</v>
      </c>
      <c r="S53" s="32">
        <v>53200.37</v>
      </c>
      <c r="T53" s="4"/>
      <c r="U53" s="4"/>
      <c r="V53" s="4"/>
      <c r="W53" s="4"/>
      <c r="X53" s="4"/>
      <c r="Y53" s="4"/>
      <c r="Z53" s="4"/>
      <c r="AA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10"/>
      <c r="M54" s="4"/>
      <c r="N54" s="4"/>
      <c r="O54" s="4"/>
      <c r="P54" s="4"/>
      <c r="Q54" s="9" t="s">
        <v>170</v>
      </c>
      <c r="R54" s="9">
        <f t="shared" ref="R54:S54" si="14">SUM(R50:R53)/4</f>
        <v>43949.3775</v>
      </c>
      <c r="S54" s="9">
        <f t="shared" si="14"/>
        <v>45998.1175</v>
      </c>
      <c r="T54" s="4"/>
      <c r="U54" s="4"/>
      <c r="V54" s="4"/>
      <c r="W54" s="4"/>
      <c r="X54" s="4"/>
      <c r="Y54" s="4"/>
      <c r="Z54" s="4"/>
      <c r="AA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10"/>
      <c r="M55" s="40"/>
      <c r="N55" s="40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0"/>
      <c r="M56" s="40"/>
      <c r="N56" s="40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0"/>
      <c r="M57" s="40"/>
      <c r="N57" s="40"/>
      <c r="O57" s="4"/>
      <c r="P57" s="4"/>
      <c r="Q57" s="4"/>
      <c r="R57" s="9" t="s">
        <v>4</v>
      </c>
      <c r="S57" s="9" t="s">
        <v>4</v>
      </c>
      <c r="T57" s="4"/>
      <c r="U57" s="4"/>
      <c r="V57" s="4"/>
      <c r="W57" s="4"/>
      <c r="X57" s="4"/>
      <c r="Y57" s="4"/>
      <c r="Z57" s="4"/>
      <c r="AA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0"/>
      <c r="M58" s="40"/>
      <c r="N58" s="40"/>
      <c r="O58" s="4"/>
      <c r="P58" s="4"/>
      <c r="Q58" s="9" t="s">
        <v>122</v>
      </c>
      <c r="R58" s="32">
        <v>58776.88</v>
      </c>
      <c r="S58" s="32">
        <v>66008.56</v>
      </c>
      <c r="T58" s="4"/>
      <c r="U58" s="4"/>
      <c r="V58" s="4"/>
      <c r="W58" s="4"/>
      <c r="X58" s="4"/>
      <c r="Y58" s="4"/>
      <c r="Z58" s="4"/>
      <c r="AA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0"/>
      <c r="M59" s="40"/>
      <c r="N59" s="40"/>
      <c r="O59" s="4"/>
      <c r="P59" s="4"/>
      <c r="Q59" s="9" t="s">
        <v>122</v>
      </c>
      <c r="R59" s="32">
        <v>64308.27</v>
      </c>
      <c r="S59" s="32">
        <v>73494.38</v>
      </c>
      <c r="T59" s="4"/>
      <c r="U59" s="4"/>
      <c r="V59" s="4"/>
      <c r="W59" s="4"/>
      <c r="X59" s="4"/>
      <c r="Y59" s="4"/>
      <c r="Z59" s="4"/>
      <c r="AA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10"/>
      <c r="M60" s="10"/>
      <c r="N60" s="10"/>
      <c r="O60" s="4"/>
      <c r="P60" s="4"/>
      <c r="Q60" s="9" t="s">
        <v>139</v>
      </c>
      <c r="R60" s="32">
        <v>63913.45</v>
      </c>
      <c r="S60" s="32">
        <v>71781.25</v>
      </c>
      <c r="T60" s="4"/>
      <c r="U60" s="4"/>
      <c r="V60" s="4"/>
      <c r="W60" s="4"/>
      <c r="X60" s="4"/>
      <c r="Y60" s="4"/>
      <c r="Z60" s="4"/>
      <c r="AA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10"/>
      <c r="M61" s="10"/>
      <c r="N61" s="10"/>
      <c r="O61" s="4"/>
      <c r="P61" s="4"/>
      <c r="Q61" s="9" t="s">
        <v>139</v>
      </c>
      <c r="R61" s="32">
        <v>67246.67</v>
      </c>
      <c r="S61" s="32">
        <v>76303.3</v>
      </c>
      <c r="T61" s="4"/>
      <c r="U61" s="4"/>
      <c r="V61" s="4"/>
      <c r="W61" s="4"/>
      <c r="X61" s="4"/>
      <c r="Y61" s="4"/>
      <c r="Z61" s="4"/>
      <c r="AA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10"/>
      <c r="M62" s="4"/>
      <c r="N62" s="4"/>
      <c r="O62" s="4"/>
      <c r="P62" s="4"/>
      <c r="Q62" s="9" t="s">
        <v>146</v>
      </c>
      <c r="R62" s="32">
        <v>64057.6</v>
      </c>
      <c r="S62" s="32">
        <v>67294.04</v>
      </c>
      <c r="T62" s="4"/>
      <c r="U62" s="4"/>
      <c r="V62" s="4"/>
      <c r="W62" s="4"/>
      <c r="X62" s="4"/>
      <c r="Y62" s="4"/>
      <c r="Z62" s="4"/>
      <c r="AA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10"/>
      <c r="M63" s="40"/>
      <c r="N63" s="40"/>
      <c r="O63" s="4"/>
      <c r="P63" s="4"/>
      <c r="Q63" s="9" t="s">
        <v>146</v>
      </c>
      <c r="R63" s="32">
        <v>68999.72</v>
      </c>
      <c r="S63" s="32">
        <v>73145.8</v>
      </c>
      <c r="T63" s="4"/>
      <c r="U63" s="4"/>
      <c r="V63" s="4"/>
      <c r="W63" s="4"/>
      <c r="X63" s="4"/>
      <c r="Y63" s="4"/>
      <c r="Z63" s="4"/>
      <c r="AA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0"/>
      <c r="M64" s="40"/>
      <c r="N64" s="40"/>
      <c r="O64" s="4"/>
      <c r="P64" s="4"/>
      <c r="Q64" s="9" t="s">
        <v>170</v>
      </c>
      <c r="R64" s="9">
        <f t="shared" ref="R64:S64" si="15">SUM(R58:R63)/6</f>
        <v>64550.43167</v>
      </c>
      <c r="S64" s="9">
        <f t="shared" si="15"/>
        <v>71337.88833</v>
      </c>
      <c r="T64" s="4"/>
      <c r="U64" s="4"/>
      <c r="V64" s="4"/>
      <c r="W64" s="4"/>
      <c r="X64" s="4"/>
      <c r="Y64" s="4"/>
      <c r="Z64" s="4"/>
      <c r="AA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0"/>
      <c r="M65" s="40"/>
      <c r="N65" s="40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0"/>
      <c r="M66" s="40"/>
      <c r="N66" s="40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0"/>
      <c r="M67" s="40"/>
      <c r="N67" s="40"/>
      <c r="O67" s="4"/>
      <c r="P67" s="4"/>
      <c r="Q67" s="4"/>
      <c r="R67" s="9" t="s">
        <v>5</v>
      </c>
      <c r="S67" s="9" t="s">
        <v>5</v>
      </c>
      <c r="T67" s="4"/>
      <c r="U67" s="4"/>
      <c r="V67" s="4"/>
      <c r="W67" s="4"/>
      <c r="X67" s="4"/>
      <c r="Y67" s="4"/>
      <c r="Z67" s="4"/>
      <c r="AA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0"/>
      <c r="M68" s="40"/>
      <c r="N68" s="40"/>
      <c r="O68" s="4"/>
      <c r="P68" s="4"/>
      <c r="Q68" s="9" t="s">
        <v>122</v>
      </c>
      <c r="R68" s="32">
        <v>46264.07</v>
      </c>
      <c r="S68" s="32">
        <v>54647.08</v>
      </c>
      <c r="T68" s="4"/>
      <c r="U68" s="4"/>
      <c r="V68" s="4"/>
      <c r="W68" s="4"/>
      <c r="X68" s="4"/>
      <c r="Y68" s="4"/>
      <c r="Z68" s="4"/>
      <c r="AA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0"/>
      <c r="M69" s="40"/>
      <c r="N69" s="40"/>
      <c r="O69" s="4"/>
      <c r="P69" s="4"/>
      <c r="Q69" s="9" t="s">
        <v>122</v>
      </c>
      <c r="R69" s="32">
        <v>50316.24</v>
      </c>
      <c r="S69" s="32">
        <v>60934.71</v>
      </c>
      <c r="T69" s="4"/>
      <c r="U69" s="4"/>
      <c r="V69" s="4"/>
      <c r="W69" s="4"/>
      <c r="X69" s="4"/>
      <c r="Y69" s="4"/>
      <c r="Z69" s="4"/>
      <c r="AA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10"/>
      <c r="M70" s="10"/>
      <c r="N70" s="10"/>
      <c r="O70" s="4"/>
      <c r="P70" s="4"/>
      <c r="Q70" s="9" t="s">
        <v>139</v>
      </c>
      <c r="R70" s="32">
        <v>50558.29</v>
      </c>
      <c r="S70" s="32">
        <v>60931.05</v>
      </c>
      <c r="T70" s="4"/>
      <c r="U70" s="4"/>
      <c r="V70" s="4"/>
      <c r="W70" s="4"/>
      <c r="X70" s="4"/>
      <c r="Y70" s="4"/>
      <c r="Z70" s="4"/>
      <c r="AA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10"/>
      <c r="M71" s="10"/>
      <c r="N71" s="10"/>
      <c r="O71" s="4"/>
      <c r="P71" s="4"/>
      <c r="Q71" s="9" t="s">
        <v>139</v>
      </c>
      <c r="R71" s="32">
        <v>51323.99</v>
      </c>
      <c r="S71" s="32">
        <v>62181.27</v>
      </c>
      <c r="T71" s="4"/>
      <c r="U71" s="4"/>
      <c r="V71" s="4"/>
      <c r="W71" s="4"/>
      <c r="X71" s="4"/>
      <c r="Y71" s="4"/>
      <c r="Z71" s="4"/>
      <c r="AA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10"/>
      <c r="M72" s="4"/>
      <c r="N72" s="4"/>
      <c r="O72" s="4"/>
      <c r="P72" s="4"/>
      <c r="Q72" s="9" t="s">
        <v>146</v>
      </c>
      <c r="R72" s="32">
        <v>69510.52</v>
      </c>
      <c r="S72" s="32">
        <v>75891.41</v>
      </c>
      <c r="T72" s="4"/>
      <c r="U72" s="4"/>
      <c r="V72" s="4"/>
      <c r="W72" s="4"/>
      <c r="X72" s="4"/>
      <c r="Y72" s="4"/>
      <c r="Z72" s="4"/>
      <c r="AA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10"/>
      <c r="M73" s="40"/>
      <c r="N73" s="40"/>
      <c r="O73" s="4"/>
      <c r="P73" s="4"/>
      <c r="Q73" s="53" t="s">
        <v>146</v>
      </c>
      <c r="R73" s="45">
        <v>71298.82</v>
      </c>
      <c r="S73" s="45">
        <v>78143.95</v>
      </c>
      <c r="T73" s="4"/>
      <c r="U73" s="4"/>
      <c r="V73" s="4"/>
      <c r="W73" s="4"/>
      <c r="X73" s="4"/>
      <c r="Y73" s="4"/>
      <c r="Z73" s="4"/>
      <c r="AA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0"/>
      <c r="M74" s="40"/>
      <c r="N74" s="40"/>
      <c r="O74" s="4"/>
      <c r="P74" s="4"/>
      <c r="Q74" s="9" t="s">
        <v>170</v>
      </c>
      <c r="R74" s="9">
        <f t="shared" ref="R74:S74" si="16">SUM(R68:R73)/6</f>
        <v>56545.32167</v>
      </c>
      <c r="S74" s="9">
        <f t="shared" si="16"/>
        <v>65454.91167</v>
      </c>
      <c r="T74" s="4"/>
      <c r="U74" s="4"/>
      <c r="V74" s="4"/>
      <c r="W74" s="4"/>
      <c r="X74" s="4"/>
      <c r="Y74" s="4"/>
      <c r="Z74" s="4"/>
      <c r="AA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0"/>
      <c r="M75" s="40"/>
      <c r="N75" s="40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0"/>
      <c r="M76" s="40"/>
      <c r="N76" s="40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0"/>
      <c r="M77" s="40"/>
      <c r="N77" s="40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0"/>
      <c r="M78" s="40"/>
      <c r="N78" s="40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0"/>
      <c r="M79" s="40"/>
      <c r="N79" s="40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</row>
  </sheetData>
  <mergeCells count="12">
    <mergeCell ref="A34:G34"/>
    <mergeCell ref="B35:C35"/>
    <mergeCell ref="F35:G35"/>
    <mergeCell ref="B42:C42"/>
    <mergeCell ref="F42:G42"/>
    <mergeCell ref="A1:E1"/>
    <mergeCell ref="H1:K1"/>
    <mergeCell ref="P1:S1"/>
    <mergeCell ref="B14:E14"/>
    <mergeCell ref="H14:K14"/>
    <mergeCell ref="B24:E24"/>
    <mergeCell ref="H24:K24"/>
  </mergeCells>
  <drawing r:id="rId1"/>
</worksheet>
</file>