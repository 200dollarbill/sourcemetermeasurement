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iled Resul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<sst xmlns="http://schemas.openxmlformats.org/spreadsheetml/2006/main" count="262" uniqueCount="134">
  <si>
    <t xml:space="preserve">Best Sensors by sensitivity, and error. To be retested and revalidated</t>
  </si>
  <si>
    <t xml:space="preserve">Sensitivity</t>
  </si>
  <si>
    <t xml:space="preserve">Block 5</t>
  </si>
  <si>
    <t xml:space="preserve">Block 6</t>
  </si>
  <si>
    <t xml:space="preserve">Block 2</t>
  </si>
  <si>
    <t xml:space="preserve">Block 1</t>
  </si>
  <si>
    <t xml:space="preserve">Sensor C</t>
  </si>
  <si>
    <t xml:space="preserve">Sensor D</t>
  </si>
  <si>
    <t xml:space="preserve">Sensor E</t>
  </si>
  <si>
    <t xml:space="preserve">Board 4</t>
  </si>
  <si>
    <t xml:space="preserve">Board 1</t>
  </si>
  <si>
    <t xml:space="preserve">Board 5</t>
  </si>
  <si>
    <t xml:space="preserve">Board 2</t>
  </si>
  <si>
    <t xml:space="preserve">Board 3</t>
  </si>
  <si>
    <t xml:space="preserve">Average</t>
  </si>
  <si>
    <t xml:space="preserve">STD Dev</t>
  </si>
  <si>
    <t xml:space="preserve">Relative Standard deviation</t>
  </si>
  <si>
    <t xml:space="preserve">Peak - Peak Resistance Change (Max - Min Resistance)</t>
  </si>
  <si>
    <t xml:space="preserve">Detected Magnetic Field (Peak - Peak Resistance / Sensitivity)</t>
  </si>
  <si>
    <t xml:space="preserve">1.007G</t>
  </si>
  <si>
    <t xml:space="preserve">1.126G</t>
  </si>
  <si>
    <t xml:space="preserve">1.250G</t>
  </si>
  <si>
    <t xml:space="preserve">1.282G</t>
  </si>
  <si>
    <t xml:space="preserve">1.121G</t>
  </si>
  <si>
    <t xml:space="preserve">1.311G</t>
  </si>
  <si>
    <t xml:space="preserve">1.191G</t>
  </si>
  <si>
    <t xml:space="preserve">1.097G</t>
  </si>
  <si>
    <t xml:space="preserve">1.088G</t>
  </si>
  <si>
    <t xml:space="preserve">1.156G</t>
  </si>
  <si>
    <t xml:space="preserve">1.279G</t>
  </si>
  <si>
    <t xml:space="preserve">1.255G</t>
  </si>
  <si>
    <t xml:space="preserve">1.134G</t>
  </si>
  <si>
    <t xml:space="preserve">1.435G</t>
  </si>
  <si>
    <t xml:space="preserve">1.556G</t>
  </si>
  <si>
    <t xml:space="preserve">1.084G</t>
  </si>
  <si>
    <t xml:space="preserve">1.061G</t>
  </si>
  <si>
    <t xml:space="preserve">1.262G</t>
  </si>
  <si>
    <t xml:space="preserve">1.261G</t>
  </si>
  <si>
    <t xml:space="preserve">1.197G</t>
  </si>
  <si>
    <t xml:space="preserve">1.080G</t>
  </si>
  <si>
    <t xml:space="preserve">0.296G</t>
  </si>
  <si>
    <t xml:space="preserve">1.225G</t>
  </si>
  <si>
    <t xml:space="preserve">1.147G</t>
  </si>
  <si>
    <t xml:space="preserve">1.202G</t>
  </si>
  <si>
    <t xml:space="preserve">1.204G</t>
  </si>
  <si>
    <t xml:space="preserve">1.303G</t>
  </si>
  <si>
    <t xml:space="preserve">1.192G</t>
  </si>
  <si>
    <t xml:space="preserve">1.124G</t>
  </si>
  <si>
    <t xml:space="preserve">1.247G</t>
  </si>
  <si>
    <t xml:space="preserve">1.220G</t>
  </si>
  <si>
    <t xml:space="preserve">1.078G</t>
  </si>
  <si>
    <t xml:space="preserve">1.295G</t>
  </si>
  <si>
    <t xml:space="preserve">1.176G</t>
  </si>
  <si>
    <t xml:space="preserve">1.048G</t>
  </si>
  <si>
    <t xml:space="preserve">1.162G</t>
  </si>
  <si>
    <t xml:space="preserve">1.144G</t>
  </si>
  <si>
    <t xml:space="preserve">1.229G</t>
  </si>
  <si>
    <t xml:space="preserve">1.273G</t>
  </si>
  <si>
    <t xml:space="preserve">1.231G</t>
  </si>
  <si>
    <t xml:space="preserve">1.115G</t>
  </si>
  <si>
    <t xml:space="preserve">1.091G</t>
  </si>
  <si>
    <t xml:space="preserve">0.106G</t>
  </si>
  <si>
    <t xml:space="preserve">0.109G</t>
  </si>
  <si>
    <t xml:space="preserve">0.023G</t>
  </si>
  <si>
    <t xml:space="preserve">0.044G</t>
  </si>
  <si>
    <t xml:space="preserve">0.024G</t>
  </si>
  <si>
    <t xml:space="preserve">0.422G</t>
  </si>
  <si>
    <t xml:space="preserve">0.150G</t>
  </si>
  <si>
    <t xml:space="preserve">0.036G</t>
  </si>
  <si>
    <t xml:space="preserve">Gauss/Amps correlation (G/A)</t>
  </si>
  <si>
    <t xml:space="preserve">-0.938G</t>
  </si>
  <si>
    <t xml:space="preserve">-1.108G/A</t>
  </si>
  <si>
    <t xml:space="preserve">-1.196G/A</t>
  </si>
  <si>
    <t xml:space="preserve">-1.148G</t>
  </si>
  <si>
    <t xml:space="preserve">-1.112G/A</t>
  </si>
  <si>
    <t xml:space="preserve">-1.248G</t>
  </si>
  <si>
    <t xml:space="preserve">-1.169G</t>
  </si>
  <si>
    <t xml:space="preserve">-1.053G</t>
  </si>
  <si>
    <t xml:space="preserve">-1.043G</t>
  </si>
  <si>
    <t xml:space="preserve">-1.101G/A</t>
  </si>
  <si>
    <t xml:space="preserve">-1.206G/A</t>
  </si>
  <si>
    <t xml:space="preserve">-1.207G</t>
  </si>
  <si>
    <t xml:space="preserve">-1.110G/A</t>
  </si>
  <si>
    <t xml:space="preserve">-1.333G</t>
  </si>
  <si>
    <t xml:space="preserve">-1.271G</t>
  </si>
  <si>
    <t xml:space="preserve">-1.060G</t>
  </si>
  <si>
    <t xml:space="preserve">-0.963G</t>
  </si>
  <si>
    <t xml:space="preserve">-1.217G/A</t>
  </si>
  <si>
    <t xml:space="preserve">-1.160G/A</t>
  </si>
  <si>
    <t xml:space="preserve">-1.136G</t>
  </si>
  <si>
    <t xml:space="preserve">-1.072G/A</t>
  </si>
  <si>
    <t xml:space="preserve">-0.271G</t>
  </si>
  <si>
    <t xml:space="preserve">-1.182G</t>
  </si>
  <si>
    <t xml:space="preserve">-1.084G</t>
  </si>
  <si>
    <t xml:space="preserve">-1.140G</t>
  </si>
  <si>
    <t xml:space="preserve">-1.177G/A</t>
  </si>
  <si>
    <t xml:space="preserve">-1.248G/A</t>
  </si>
  <si>
    <t xml:space="preserve">-1.180G</t>
  </si>
  <si>
    <t xml:space="preserve">-1.109G/A</t>
  </si>
  <si>
    <t xml:space="preserve">-1.238G</t>
  </si>
  <si>
    <t xml:space="preserve">-1.191G</t>
  </si>
  <si>
    <t xml:space="preserve">-1.069G</t>
  </si>
  <si>
    <t xml:space="preserve">-1.237G</t>
  </si>
  <si>
    <t xml:space="preserve">-1.160G</t>
  </si>
  <si>
    <t xml:space="preserve">-1.032G</t>
  </si>
  <si>
    <t xml:space="preserve">-1.183G</t>
  </si>
  <si>
    <t xml:space="preserve">-1.139G</t>
  </si>
  <si>
    <t xml:space="preserve">-1.063G</t>
  </si>
  <si>
    <t xml:space="preserve">-1.174G/A</t>
  </si>
  <si>
    <t xml:space="preserve">-1.203G/A</t>
  </si>
  <si>
    <t xml:space="preserve">-1.168G</t>
  </si>
  <si>
    <t xml:space="preserve">-1.085G</t>
  </si>
  <si>
    <t xml:space="preserve">-1.185G</t>
  </si>
  <si>
    <t xml:space="preserve">0.099G</t>
  </si>
  <si>
    <t xml:space="preserve">0.061G/A</t>
  </si>
  <si>
    <t xml:space="preserve">0.036G/A</t>
  </si>
  <si>
    <t xml:space="preserve">0.032G</t>
  </si>
  <si>
    <t xml:space="preserve">0.019G/A</t>
  </si>
  <si>
    <t xml:space="preserve">0.402G</t>
  </si>
  <si>
    <t xml:space="preserve">0.045G</t>
  </si>
  <si>
    <t xml:space="preserve">0.020G</t>
  </si>
  <si>
    <t xml:space="preserve">5.21%</t>
  </si>
  <si>
    <t xml:space="preserve">3.00%</t>
  </si>
  <si>
    <t xml:space="preserve">1.76%</t>
  </si>
  <si>
    <t xml:space="preserve">RMSE of Resistance to ideal line</t>
  </si>
  <si>
    <t xml:space="preserve">Hsin Ting's Board (Averaged)</t>
  </si>
  <si>
    <t xml:space="preserve">Peters Board (Averaged)</t>
  </si>
  <si>
    <t xml:space="preserve">B3</t>
  </si>
  <si>
    <t xml:space="preserve">B4</t>
  </si>
  <si>
    <t xml:space="preserve">B5</t>
  </si>
  <si>
    <t xml:space="preserve">B6</t>
  </si>
  <si>
    <t xml:space="preserve">B1</t>
  </si>
  <si>
    <t xml:space="preserve">B2</t>
  </si>
  <si>
    <t xml:space="preserve">Global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</si>
</sst>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###0.000\Ω"/>
    <numFmt numFmtId="167" formatCode="###0.000"/>
    <numFmt numFmtId="168" formatCode="General"/>
    <numFmt numFmtId="169" formatCode="0.00%"/>
    <numFmt numFmtId="170" formatCode="###0.00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6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6D7A8"/>
        <bgColor rgb="FFCCCCFF"/>
      </patternFill>
    </fill>
    <fill>
      <patternFill patternType="solid">
        <fgColor rgb="FFEA9999"/>
        <bgColor rgb="FFFF808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ck"/>
      <diagonal/>
    </border>
    <border diagonalUp="false" diagonalDown="false">
      <left style="medium">
        <color rgb="FF999999"/>
      </left>
      <right/>
      <top style="medium">
        <color rgb="FF999999"/>
      </top>
      <bottom/>
      <diagonal/>
    </border>
    <border diagonalUp="false" diagonalDown="false">
      <left/>
      <right/>
      <top style="medium">
        <color rgb="FF999999"/>
      </top>
      <bottom/>
      <diagonal/>
    </border>
    <border diagonalUp="false" diagonalDown="false">
      <left style="medium">
        <color rgb="FF999999"/>
      </left>
      <right/>
      <top/>
      <bottom style="medium">
        <color rgb="FF999999"/>
      </bottom>
      <diagonal/>
    </border>
    <border diagonalUp="false" diagonalDown="false">
      <left/>
      <right/>
      <top/>
      <bottom style="medium">
        <color rgb="FF999999"/>
      </bottom>
      <diagonal/>
    </border>
    <border diagonalUp="false" diagonalDown="false"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 diagonalUp="false" diagonalDown="false">
      <left/>
      <right/>
      <top style="medium">
        <color rgb="FF999999"/>
      </top>
      <bottom style="medium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5" min="2" style="0" width="13.75"/>
    <col collapsed="false" customWidth="true" hidden="false" outlineLevel="0" max="18" min="7" style="0" width="14.75"/>
  </cols>
  <sheetData>
    <row r="1" customFormat="false" ht="15.7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customFormat="false" ht="19.7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R2" s="4"/>
      <c r="S2" s="4"/>
      <c r="U2" s="5"/>
      <c r="V2" s="5"/>
      <c r="W2" s="5"/>
      <c r="X2" s="5"/>
      <c r="Y2" s="5"/>
      <c r="Z2" s="5"/>
      <c r="AA2" s="5"/>
      <c r="AB2" s="5"/>
      <c r="AC2" s="5"/>
    </row>
    <row r="3" customFormat="false" ht="15.75" hidden="false" customHeight="false" outlineLevel="0" collapsed="false">
      <c r="A3" s="2"/>
      <c r="B3" s="6" t="s">
        <v>2</v>
      </c>
      <c r="C3" s="6" t="s">
        <v>3</v>
      </c>
      <c r="D3" s="7" t="s">
        <v>4</v>
      </c>
      <c r="E3" s="7" t="s">
        <v>4</v>
      </c>
      <c r="F3" s="7" t="s">
        <v>4</v>
      </c>
      <c r="I3" s="7" t="s">
        <v>5</v>
      </c>
      <c r="J3" s="7" t="s">
        <v>5</v>
      </c>
      <c r="K3" s="7" t="s">
        <v>5</v>
      </c>
      <c r="R3" s="8"/>
      <c r="S3" s="8"/>
      <c r="U3" s="2"/>
      <c r="V3" s="5"/>
      <c r="W3" s="2"/>
      <c r="X3" s="5"/>
      <c r="Y3" s="5"/>
      <c r="Z3" s="5"/>
      <c r="AA3" s="5"/>
      <c r="AB3" s="5"/>
      <c r="AC3" s="5"/>
    </row>
    <row r="4" customFormat="false" ht="15.75" hidden="false" customHeight="false" outlineLevel="0" collapsed="false">
      <c r="A4" s="2"/>
      <c r="B4" s="6"/>
      <c r="C4" s="6"/>
      <c r="D4" s="7" t="s">
        <v>6</v>
      </c>
      <c r="E4" s="7" t="s">
        <v>7</v>
      </c>
      <c r="F4" s="7" t="s">
        <v>8</v>
      </c>
      <c r="I4" s="7" t="s">
        <v>6</v>
      </c>
      <c r="J4" s="7" t="s">
        <v>7</v>
      </c>
      <c r="K4" s="7" t="s">
        <v>8</v>
      </c>
      <c r="R4" s="9"/>
      <c r="S4" s="8"/>
      <c r="U4" s="2"/>
      <c r="V4" s="5"/>
      <c r="W4" s="2"/>
      <c r="X4" s="5"/>
      <c r="Y4" s="5"/>
      <c r="Z4" s="5"/>
      <c r="AA4" s="5"/>
      <c r="AB4" s="5"/>
      <c r="AC4" s="5"/>
    </row>
    <row r="5" customFormat="false" ht="15.75" hidden="false" customHeight="false" outlineLevel="0" collapsed="false">
      <c r="A5" s="7" t="s">
        <v>9</v>
      </c>
      <c r="B5" s="10" t="n">
        <v>70.42</v>
      </c>
      <c r="C5" s="10" t="n">
        <v>81.63</v>
      </c>
      <c r="D5" s="11" t="n">
        <v>54.1951</v>
      </c>
      <c r="E5" s="11" t="n">
        <v>75.3452</v>
      </c>
      <c r="F5" s="11" t="n">
        <v>85.2732</v>
      </c>
      <c r="H5" s="12" t="s">
        <v>10</v>
      </c>
      <c r="I5" s="11" t="n">
        <v>18.0508</v>
      </c>
      <c r="J5" s="11" t="n">
        <v>28.0771</v>
      </c>
      <c r="K5" s="11" t="n">
        <v>52.2981</v>
      </c>
      <c r="R5" s="9"/>
      <c r="S5" s="11"/>
      <c r="U5" s="2"/>
      <c r="V5" s="5"/>
      <c r="W5" s="2"/>
      <c r="X5" s="5"/>
      <c r="Y5" s="5"/>
      <c r="Z5" s="5"/>
      <c r="AA5" s="5"/>
      <c r="AB5" s="5"/>
      <c r="AC5" s="5"/>
    </row>
    <row r="6" customFormat="false" ht="15.75" hidden="false" customHeight="false" outlineLevel="0" collapsed="false">
      <c r="A6" s="7" t="s">
        <v>9</v>
      </c>
      <c r="B6" s="10" t="n">
        <v>89.195</v>
      </c>
      <c r="C6" s="10" t="n">
        <v>103.142</v>
      </c>
      <c r="D6" s="11" t="n">
        <v>59.5506</v>
      </c>
      <c r="E6" s="11" t="n">
        <v>72.5784</v>
      </c>
      <c r="F6" s="11" t="n">
        <v>95.3564</v>
      </c>
      <c r="H6" s="12" t="s">
        <v>10</v>
      </c>
      <c r="I6" s="11" t="n">
        <v>17.0139</v>
      </c>
      <c r="J6" s="11" t="n">
        <v>36.5104</v>
      </c>
      <c r="K6" s="11" t="n">
        <v>51.5893</v>
      </c>
      <c r="R6" s="9"/>
      <c r="S6" s="11"/>
      <c r="U6" s="2"/>
      <c r="V6" s="5"/>
      <c r="W6" s="2"/>
      <c r="X6" s="5"/>
      <c r="Y6" s="5"/>
      <c r="Z6" s="5"/>
      <c r="AA6" s="5"/>
      <c r="AB6" s="5"/>
      <c r="AC6" s="5"/>
    </row>
    <row r="7" customFormat="false" ht="15.75" hidden="false" customHeight="false" outlineLevel="0" collapsed="false">
      <c r="A7" s="7" t="s">
        <v>11</v>
      </c>
      <c r="B7" s="10" t="n">
        <v>76.68</v>
      </c>
      <c r="C7" s="10" t="n">
        <v>101.093</v>
      </c>
      <c r="D7" s="11" t="n">
        <v>24.9032</v>
      </c>
      <c r="E7" s="11" t="n">
        <v>35.8134</v>
      </c>
      <c r="F7" s="11" t="n">
        <v>62.92</v>
      </c>
      <c r="H7" s="12" t="s">
        <v>12</v>
      </c>
      <c r="I7" s="11" t="n">
        <v>113.029</v>
      </c>
      <c r="J7" s="11" t="n">
        <v>68.1049</v>
      </c>
      <c r="K7" s="11" t="n">
        <v>83.4682</v>
      </c>
      <c r="R7" s="9"/>
      <c r="S7" s="11"/>
      <c r="U7" s="2"/>
      <c r="V7" s="5"/>
      <c r="W7" s="2"/>
      <c r="X7" s="5"/>
      <c r="Y7" s="5"/>
      <c r="Z7" s="5"/>
      <c r="AA7" s="5"/>
      <c r="AB7" s="5"/>
      <c r="AC7" s="5"/>
    </row>
    <row r="8" customFormat="false" ht="15.75" hidden="false" customHeight="false" outlineLevel="0" collapsed="false">
      <c r="A8" s="7" t="s">
        <v>11</v>
      </c>
      <c r="B8" s="10" t="n">
        <v>88.266</v>
      </c>
      <c r="C8" s="10" t="n">
        <v>105.816</v>
      </c>
      <c r="D8" s="11" t="n">
        <v>21.9892</v>
      </c>
      <c r="E8" s="11" t="n">
        <v>36.0976</v>
      </c>
      <c r="F8" s="11" t="n">
        <v>58.316</v>
      </c>
      <c r="H8" s="12" t="s">
        <v>12</v>
      </c>
      <c r="I8" s="11" t="n">
        <v>146.4614</v>
      </c>
      <c r="J8" s="11" t="n">
        <v>97.8657</v>
      </c>
      <c r="K8" s="11" t="n">
        <v>78.6398</v>
      </c>
      <c r="R8" s="9"/>
      <c r="S8" s="11"/>
      <c r="U8" s="13"/>
      <c r="V8" s="13"/>
      <c r="W8" s="13"/>
      <c r="X8" s="13"/>
      <c r="Y8" s="13"/>
      <c r="Z8" s="13"/>
      <c r="AA8" s="14"/>
      <c r="AB8" s="5"/>
      <c r="AC8" s="5"/>
    </row>
    <row r="9" customFormat="false" ht="15.75" hidden="false" customHeight="false" outlineLevel="0" collapsed="false">
      <c r="A9" s="2"/>
      <c r="B9" s="10"/>
      <c r="C9" s="10"/>
      <c r="D9" s="10"/>
      <c r="E9" s="10"/>
      <c r="F9" s="10"/>
      <c r="H9" s="12" t="s">
        <v>13</v>
      </c>
      <c r="I9" s="11" t="n">
        <v>83.0578</v>
      </c>
      <c r="J9" s="11" t="n">
        <v>99.2757</v>
      </c>
      <c r="K9" s="11" t="n">
        <v>88.3755</v>
      </c>
      <c r="R9" s="9"/>
      <c r="S9" s="10"/>
      <c r="U9" s="14"/>
      <c r="V9" s="14"/>
      <c r="W9" s="14"/>
      <c r="X9" s="14"/>
      <c r="Y9" s="14"/>
      <c r="Z9" s="14"/>
      <c r="AA9" s="14"/>
      <c r="AB9" s="5"/>
      <c r="AC9" s="5"/>
    </row>
    <row r="10" customFormat="false" ht="15.75" hidden="false" customHeight="false" outlineLevel="0" collapsed="false">
      <c r="A10" s="2"/>
      <c r="B10" s="10"/>
      <c r="C10" s="10"/>
      <c r="D10" s="10"/>
      <c r="E10" s="10"/>
      <c r="F10" s="10"/>
      <c r="H10" s="12" t="s">
        <v>13</v>
      </c>
      <c r="I10" s="11" t="n">
        <v>84.7505</v>
      </c>
      <c r="J10" s="11" t="n">
        <v>83.1343</v>
      </c>
      <c r="K10" s="10"/>
      <c r="R10" s="9"/>
      <c r="S10" s="10"/>
      <c r="U10" s="15"/>
      <c r="V10" s="15"/>
      <c r="W10" s="15"/>
      <c r="X10" s="15"/>
      <c r="Y10" s="15"/>
      <c r="Z10" s="15"/>
      <c r="AA10" s="15"/>
      <c r="AB10" s="5"/>
      <c r="AC10" s="5"/>
    </row>
    <row r="11" customFormat="false" ht="15.75" hidden="false" customHeight="false" outlineLevel="0" collapsed="false">
      <c r="A11" s="16" t="s">
        <v>14</v>
      </c>
      <c r="B11" s="17" t="n">
        <f aca="false">AVERAGE(B5:B10)</f>
        <v>81.14025</v>
      </c>
      <c r="C11" s="18" t="n">
        <f aca="false">AVERAGE(C5:C10)</f>
        <v>97.92025</v>
      </c>
      <c r="D11" s="17" t="n">
        <f aca="false">AVERAGE(D5:D10)</f>
        <v>40.159525</v>
      </c>
      <c r="E11" s="17" t="n">
        <f aca="false">AVERAGE(E5:E10)</f>
        <v>54.95865</v>
      </c>
      <c r="F11" s="17" t="n">
        <f aca="false">AVERAGE(F5:F10)</f>
        <v>75.4664</v>
      </c>
      <c r="I11" s="17" t="n">
        <f aca="false">AVERAGE(I5:I10)</f>
        <v>77.0605666666667</v>
      </c>
      <c r="J11" s="17" t="n">
        <f aca="false">AVERAGE(J5:J10)</f>
        <v>68.8280166666667</v>
      </c>
      <c r="K11" s="17" t="n">
        <f aca="false">AVERAGE(K5:K10)</f>
        <v>70.87418</v>
      </c>
      <c r="R11" s="9"/>
      <c r="S11" s="19"/>
      <c r="U11" s="15"/>
      <c r="V11" s="15"/>
      <c r="W11" s="15"/>
      <c r="X11" s="15"/>
      <c r="Y11" s="15"/>
      <c r="Z11" s="15"/>
      <c r="AA11" s="15"/>
      <c r="AB11" s="5"/>
      <c r="AC11" s="5"/>
    </row>
    <row r="12" customFormat="false" ht="15.75" hidden="false" customHeight="false" outlineLevel="0" collapsed="false">
      <c r="A12" s="20" t="s">
        <v>15</v>
      </c>
      <c r="B12" s="21" t="n">
        <f aca="false">STDEV(B5:B8)</f>
        <v>9.13733915955113</v>
      </c>
      <c r="C12" s="21" t="n">
        <f aca="false">STDEV(C5:C8)</f>
        <v>11.0309886040796</v>
      </c>
      <c r="D12" s="21" t="n">
        <f aca="false">STDEV(D5:D8)</f>
        <v>19.4587368410482</v>
      </c>
      <c r="E12" s="21" t="n">
        <f aca="false">STDEV(E5:E8)</f>
        <v>21.9723069311501</v>
      </c>
      <c r="F12" s="21" t="n">
        <f aca="false">STDEV(F5:F8)</f>
        <v>17.7325858178289</v>
      </c>
      <c r="I12" s="21" t="n">
        <f aca="false">STDEV(I5:I10)</f>
        <v>51.5617309367584</v>
      </c>
      <c r="J12" s="21" t="n">
        <f aca="false">STDEV(J5:J10)</f>
        <v>30.5957731409041</v>
      </c>
      <c r="K12" s="21" t="n">
        <f aca="false">STDEV(K5:K10)</f>
        <v>17.6223419291251</v>
      </c>
      <c r="R12" s="9"/>
      <c r="S12" s="7"/>
      <c r="U12" s="22"/>
      <c r="V12" s="22"/>
      <c r="W12" s="22"/>
      <c r="X12" s="22"/>
      <c r="Y12" s="22"/>
      <c r="Z12" s="22"/>
      <c r="AA12" s="22"/>
      <c r="AB12" s="5"/>
      <c r="AC12" s="5"/>
    </row>
    <row r="13" customFormat="false" ht="15.75" hidden="false" customHeight="false" outlineLevel="0" collapsed="false">
      <c r="A13" s="23" t="s">
        <v>16</v>
      </c>
      <c r="B13" s="24" t="n">
        <f aca="false">(B12/B11)</f>
        <v>0.112611671267357</v>
      </c>
      <c r="C13" s="25" t="n">
        <f aca="false">(C12/C11)</f>
        <v>0.11265278228027</v>
      </c>
      <c r="D13" s="24" t="n">
        <f aca="false">(D12/D11)</f>
        <v>0.484536030768496</v>
      </c>
      <c r="E13" s="24" t="n">
        <f aca="false">(E12/E11)</f>
        <v>0.399797064359297</v>
      </c>
      <c r="F13" s="24" t="n">
        <f aca="false">(F12/F11)</f>
        <v>0.234973257208889</v>
      </c>
      <c r="I13" s="24" t="n">
        <f aca="false">(I12/I11)</f>
        <v>0.669106563409972</v>
      </c>
      <c r="J13" s="24" t="n">
        <f aca="false">(J12/J11)</f>
        <v>0.444524985938198</v>
      </c>
      <c r="K13" s="24" t="n">
        <f aca="false">(K12/K11)</f>
        <v>0.248642621743561</v>
      </c>
      <c r="R13" s="9"/>
      <c r="S13" s="26"/>
      <c r="U13" s="14"/>
      <c r="V13" s="14"/>
      <c r="W13" s="27"/>
      <c r="X13" s="14"/>
      <c r="Y13" s="14"/>
      <c r="Z13" s="14"/>
      <c r="AA13" s="14"/>
      <c r="AB13" s="5"/>
      <c r="AC13" s="5"/>
    </row>
    <row r="14" customFormat="false" ht="15.7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R14" s="9"/>
      <c r="S14" s="9"/>
      <c r="U14" s="14"/>
      <c r="V14" s="14"/>
      <c r="W14" s="27"/>
      <c r="X14" s="14"/>
      <c r="Y14" s="14"/>
      <c r="Z14" s="14"/>
      <c r="AA14" s="14"/>
      <c r="AB14" s="5"/>
      <c r="AC14" s="5"/>
    </row>
    <row r="15" customFormat="false" ht="19.7" hidden="false" customHeight="false" outlineLevel="0" collapsed="false">
      <c r="A15" s="3" t="s">
        <v>17</v>
      </c>
      <c r="B15" s="3"/>
      <c r="C15" s="3"/>
      <c r="D15" s="3"/>
      <c r="E15" s="3"/>
      <c r="F15" s="3"/>
      <c r="G15" s="3"/>
      <c r="H15" s="3"/>
      <c r="I15" s="3"/>
      <c r="J15" s="3"/>
      <c r="K15" s="3"/>
      <c r="R15" s="4"/>
      <c r="S15" s="4"/>
      <c r="U15" s="14"/>
      <c r="V15" s="14"/>
      <c r="W15" s="14"/>
      <c r="X15" s="14"/>
      <c r="Y15" s="14"/>
      <c r="Z15" s="14"/>
      <c r="AA15" s="14"/>
      <c r="AB15" s="5"/>
      <c r="AC15" s="5"/>
    </row>
    <row r="16" customFormat="false" ht="15.75" hidden="false" customHeight="false" outlineLevel="0" collapsed="false">
      <c r="A16" s="5"/>
      <c r="B16" s="6" t="s">
        <v>2</v>
      </c>
      <c r="C16" s="6" t="s">
        <v>3</v>
      </c>
      <c r="D16" s="7" t="s">
        <v>4</v>
      </c>
      <c r="E16" s="8" t="s">
        <v>4</v>
      </c>
      <c r="F16" s="7" t="s">
        <v>4</v>
      </c>
      <c r="I16" s="7" t="s">
        <v>5</v>
      </c>
      <c r="J16" s="7" t="s">
        <v>5</v>
      </c>
      <c r="K16" s="7" t="s">
        <v>5</v>
      </c>
      <c r="R16" s="8"/>
      <c r="S16" s="8"/>
      <c r="U16" s="14"/>
      <c r="V16" s="14"/>
      <c r="W16" s="14"/>
      <c r="X16" s="27"/>
      <c r="Y16" s="27"/>
      <c r="Z16" s="14"/>
      <c r="AA16" s="14"/>
      <c r="AB16" s="5"/>
      <c r="AC16" s="5"/>
    </row>
    <row r="17" customFormat="false" ht="15.75" hidden="false" customHeight="false" outlineLevel="0" collapsed="false">
      <c r="A17" s="5"/>
      <c r="B17" s="6"/>
      <c r="C17" s="6"/>
      <c r="D17" s="7" t="s">
        <v>6</v>
      </c>
      <c r="E17" s="7" t="s">
        <v>7</v>
      </c>
      <c r="F17" s="7" t="s">
        <v>8</v>
      </c>
      <c r="I17" s="7" t="s">
        <v>6</v>
      </c>
      <c r="J17" s="7" t="s">
        <v>7</v>
      </c>
      <c r="K17" s="7" t="s">
        <v>8</v>
      </c>
      <c r="R17" s="9"/>
      <c r="S17" s="8"/>
      <c r="U17" s="14"/>
      <c r="V17" s="14"/>
      <c r="W17" s="27"/>
      <c r="X17" s="14"/>
      <c r="Y17" s="14"/>
      <c r="Z17" s="14"/>
      <c r="AA17" s="14"/>
      <c r="AB17" s="14"/>
      <c r="AC17" s="5"/>
    </row>
    <row r="18" customFormat="false" ht="15.75" hidden="false" customHeight="false" outlineLevel="0" collapsed="false">
      <c r="A18" s="7" t="s">
        <v>9</v>
      </c>
      <c r="B18" s="28" t="n">
        <v>70.89</v>
      </c>
      <c r="C18" s="29" t="n">
        <v>91.91</v>
      </c>
      <c r="D18" s="29" t="n">
        <v>67.76</v>
      </c>
      <c r="E18" s="28" t="n">
        <v>96.59</v>
      </c>
      <c r="F18" s="29" t="n">
        <v>95.58</v>
      </c>
      <c r="H18" s="12" t="s">
        <v>10</v>
      </c>
      <c r="I18" s="28" t="n">
        <v>23.67</v>
      </c>
      <c r="J18" s="28" t="n">
        <v>33.43</v>
      </c>
      <c r="K18" s="28" t="n">
        <v>57.37</v>
      </c>
      <c r="R18" s="9"/>
      <c r="S18" s="11"/>
      <c r="U18" s="14"/>
      <c r="V18" s="14"/>
      <c r="W18" s="27"/>
      <c r="X18" s="14"/>
      <c r="Y18" s="14"/>
      <c r="Z18" s="14"/>
      <c r="AA18" s="14"/>
      <c r="AB18" s="14"/>
      <c r="AC18" s="5"/>
    </row>
    <row r="19" customFormat="false" ht="15.75" hidden="false" customHeight="false" outlineLevel="0" collapsed="false">
      <c r="A19" s="7" t="s">
        <v>9</v>
      </c>
      <c r="B19" s="28" t="n">
        <v>97.07</v>
      </c>
      <c r="C19" s="29" t="n">
        <v>119.21</v>
      </c>
      <c r="D19" s="29" t="n">
        <v>76.15</v>
      </c>
      <c r="E19" s="28" t="n">
        <v>91.05</v>
      </c>
      <c r="F19" s="29" t="n">
        <v>108.1</v>
      </c>
      <c r="H19" s="12" t="s">
        <v>10</v>
      </c>
      <c r="I19" s="28" t="n">
        <v>24.42</v>
      </c>
      <c r="J19" s="28" t="n">
        <v>56.81</v>
      </c>
      <c r="K19" s="28" t="n">
        <v>55.92</v>
      </c>
      <c r="R19" s="9"/>
      <c r="S19" s="11"/>
      <c r="U19" s="30"/>
      <c r="V19" s="14"/>
      <c r="W19" s="27"/>
      <c r="X19" s="14"/>
      <c r="Y19" s="14"/>
      <c r="Z19" s="14"/>
      <c r="AA19" s="14"/>
      <c r="AB19" s="14"/>
      <c r="AC19" s="5"/>
    </row>
    <row r="20" customFormat="false" ht="15.75" hidden="false" customHeight="false" outlineLevel="0" collapsed="false">
      <c r="A20" s="7" t="s">
        <v>11</v>
      </c>
      <c r="B20" s="28" t="n">
        <v>81.36</v>
      </c>
      <c r="C20" s="29" t="n">
        <v>127.55</v>
      </c>
      <c r="D20" s="29" t="n">
        <v>31.4</v>
      </c>
      <c r="E20" s="28" t="n">
        <v>42.88</v>
      </c>
      <c r="F20" s="29" t="n">
        <v>67.94</v>
      </c>
      <c r="H20" s="12" t="s">
        <v>12</v>
      </c>
      <c r="I20" s="28" t="n">
        <v>33.41</v>
      </c>
      <c r="J20" s="28" t="n">
        <v>83.4</v>
      </c>
      <c r="K20" s="28" t="n">
        <v>95.76</v>
      </c>
      <c r="R20" s="9"/>
      <c r="S20" s="11"/>
      <c r="U20" s="14"/>
      <c r="V20" s="14"/>
      <c r="W20" s="27"/>
      <c r="X20" s="14"/>
      <c r="Y20" s="14"/>
      <c r="Z20" s="14"/>
      <c r="AA20" s="14"/>
      <c r="AB20" s="14"/>
      <c r="AC20" s="5"/>
    </row>
    <row r="21" customFormat="false" ht="15.75" hidden="false" customHeight="false" outlineLevel="0" collapsed="false">
      <c r="A21" s="7" t="s">
        <v>11</v>
      </c>
      <c r="B21" s="28" t="n">
        <v>106.13</v>
      </c>
      <c r="C21" s="29" t="n">
        <v>127.39</v>
      </c>
      <c r="D21" s="29" t="n">
        <v>28.66</v>
      </c>
      <c r="E21" s="28" t="n">
        <v>43.03</v>
      </c>
      <c r="F21" s="29" t="n">
        <v>65.56</v>
      </c>
      <c r="H21" s="12" t="s">
        <v>12</v>
      </c>
      <c r="I21" s="28" t="n">
        <v>182.71</v>
      </c>
      <c r="J21" s="28" t="n">
        <v>119.4</v>
      </c>
      <c r="K21" s="28" t="n">
        <v>84.74</v>
      </c>
      <c r="R21" s="9"/>
      <c r="S21" s="11"/>
      <c r="U21" s="13"/>
      <c r="V21" s="13"/>
      <c r="W21" s="13"/>
      <c r="X21" s="13"/>
      <c r="Y21" s="13"/>
      <c r="Z21" s="13"/>
      <c r="AA21" s="14"/>
      <c r="AB21" s="14"/>
      <c r="AC21" s="5"/>
    </row>
    <row r="22" customFormat="false" ht="15.75" hidden="false" customHeight="false" outlineLevel="0" collapsed="false">
      <c r="A22" s="5"/>
      <c r="B22" s="28"/>
      <c r="C22" s="29"/>
      <c r="D22" s="31"/>
      <c r="E22" s="15"/>
      <c r="F22" s="31"/>
      <c r="H22" s="12" t="s">
        <v>13</v>
      </c>
      <c r="I22" s="28" t="n">
        <v>107.52</v>
      </c>
      <c r="J22" s="28" t="n">
        <v>116.77</v>
      </c>
      <c r="K22" s="28" t="n">
        <v>92.63</v>
      </c>
      <c r="R22" s="9"/>
      <c r="S22" s="15"/>
      <c r="U22" s="14"/>
      <c r="V22" s="14"/>
      <c r="W22" s="14"/>
      <c r="X22" s="14"/>
      <c r="Y22" s="14"/>
      <c r="Z22" s="14"/>
      <c r="AA22" s="14"/>
      <c r="AB22" s="14"/>
      <c r="AC22" s="5"/>
    </row>
    <row r="23" customFormat="false" ht="15.75" hidden="false" customHeight="false" outlineLevel="0" collapsed="false">
      <c r="A23" s="5"/>
      <c r="B23" s="28"/>
      <c r="C23" s="29"/>
      <c r="D23" s="31"/>
      <c r="E23" s="15"/>
      <c r="F23" s="31"/>
      <c r="H23" s="12" t="s">
        <v>13</v>
      </c>
      <c r="I23" s="28" t="n">
        <v>109.76</v>
      </c>
      <c r="J23" s="28" t="n">
        <v>96.58</v>
      </c>
      <c r="K23" s="10"/>
      <c r="R23" s="9"/>
      <c r="S23" s="15"/>
      <c r="U23" s="15"/>
      <c r="V23" s="15"/>
      <c r="W23" s="15"/>
      <c r="X23" s="15"/>
      <c r="Y23" s="15"/>
      <c r="Z23" s="15"/>
      <c r="AA23" s="15"/>
      <c r="AB23" s="5"/>
      <c r="AC23" s="5"/>
    </row>
    <row r="24" customFormat="false" ht="15.75" hidden="false" customHeight="false" outlineLevel="0" collapsed="false">
      <c r="A24" s="32" t="s">
        <v>14</v>
      </c>
      <c r="B24" s="33" t="n">
        <f aca="false">AVERAGE(B20:B23)</f>
        <v>93.745</v>
      </c>
      <c r="C24" s="34" t="n">
        <f aca="false">AVERAGE(C20:C23)</f>
        <v>127.47</v>
      </c>
      <c r="D24" s="17" t="n">
        <f aca="false">AVERAGE(D18:D23)</f>
        <v>50.9925</v>
      </c>
      <c r="E24" s="17" t="n">
        <f aca="false">AVERAGE(E18:E23)</f>
        <v>68.3875</v>
      </c>
      <c r="F24" s="17" t="n">
        <f aca="false">AVERAGE(F18:F23)</f>
        <v>84.295</v>
      </c>
      <c r="I24" s="17" t="n">
        <f aca="false">AVERAGE(I18:I23)</f>
        <v>80.2483333333333</v>
      </c>
      <c r="J24" s="17" t="n">
        <f aca="false">AVERAGE(J18:J23)</f>
        <v>84.3983333333333</v>
      </c>
      <c r="K24" s="17" t="n">
        <f aca="false">AVERAGE(K18:K23)</f>
        <v>77.284</v>
      </c>
      <c r="R24" s="9"/>
      <c r="S24" s="19"/>
      <c r="U24" s="15"/>
      <c r="V24" s="15"/>
      <c r="W24" s="15"/>
      <c r="X24" s="15"/>
      <c r="Y24" s="15"/>
      <c r="Z24" s="15"/>
      <c r="AA24" s="15"/>
      <c r="AB24" s="5"/>
      <c r="AC24" s="5"/>
    </row>
    <row r="25" customFormat="false" ht="15.75" hidden="false" customHeight="false" outlineLevel="0" collapsed="false">
      <c r="A25" s="20" t="s">
        <v>15</v>
      </c>
      <c r="B25" s="17" t="n">
        <f aca="false">STDEV(B18:B23)</f>
        <v>15.7567749978647</v>
      </c>
      <c r="C25" s="17" t="n">
        <f aca="false">STDEV(C18:C23)</f>
        <v>16.8592793440289</v>
      </c>
      <c r="D25" s="21" t="n">
        <f aca="false">STDEV(D18:D21)</f>
        <v>24.4721302369314</v>
      </c>
      <c r="E25" s="17" t="n">
        <f aca="false">STDEV(E18:E21)</f>
        <v>29.4539486600127</v>
      </c>
      <c r="F25" s="17" t="n">
        <f aca="false">STDEV(F18:F21)</f>
        <v>20.9166241699435</v>
      </c>
      <c r="I25" s="17" t="n">
        <f aca="false">STDEV(I18:I23)</f>
        <v>64.2258756006227</v>
      </c>
      <c r="J25" s="17" t="n">
        <f aca="false">STDEV(J18:J23)</f>
        <v>34.0038770828661</v>
      </c>
      <c r="K25" s="17" t="n">
        <f aca="false">STDEV(K18:K23)</f>
        <v>19.2707169041528</v>
      </c>
      <c r="R25" s="9"/>
      <c r="S25" s="19"/>
      <c r="U25" s="15"/>
      <c r="V25" s="15"/>
      <c r="W25" s="15"/>
      <c r="X25" s="15"/>
      <c r="Y25" s="15"/>
      <c r="Z25" s="15"/>
      <c r="AA25" s="15"/>
      <c r="AB25" s="5"/>
      <c r="AC25" s="5"/>
    </row>
    <row r="26" customFormat="false" ht="15.75" hidden="false" customHeight="false" outlineLevel="0" collapsed="false">
      <c r="A26" s="23" t="s">
        <v>16</v>
      </c>
      <c r="B26" s="24" t="n">
        <f aca="false">(B25/B24)</f>
        <v>0.168081230976209</v>
      </c>
      <c r="C26" s="25" t="n">
        <f aca="false">(C25/C24)</f>
        <v>0.132260762093268</v>
      </c>
      <c r="D26" s="24" t="n">
        <f aca="false">(D25/D24)</f>
        <v>0.479916266841819</v>
      </c>
      <c r="E26" s="24" t="n">
        <f aca="false">(E25/E24)</f>
        <v>0.430691992835134</v>
      </c>
      <c r="F26" s="24" t="n">
        <f aca="false">(F25/F24)</f>
        <v>0.248136000592485</v>
      </c>
      <c r="I26" s="24" t="n">
        <f aca="false">(I25/I24)</f>
        <v>0.800339059178252</v>
      </c>
      <c r="J26" s="24" t="n">
        <f aca="false">(J25/J24)</f>
        <v>0.402897495008189</v>
      </c>
      <c r="K26" s="24" t="n">
        <f aca="false">(K25/K24)</f>
        <v>0.249349372498225</v>
      </c>
      <c r="R26" s="9"/>
      <c r="S26" s="26"/>
      <c r="U26" s="9"/>
      <c r="V26" s="9"/>
      <c r="W26" s="9"/>
      <c r="X26" s="9"/>
      <c r="Y26" s="9"/>
      <c r="Z26" s="9"/>
      <c r="AA26" s="9"/>
      <c r="AB26" s="5"/>
      <c r="AC26" s="5"/>
    </row>
    <row r="27" customFormat="false" ht="15.7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R27" s="9"/>
      <c r="S27" s="9"/>
      <c r="U27" s="9"/>
      <c r="V27" s="9"/>
      <c r="W27" s="9"/>
      <c r="X27" s="9"/>
      <c r="Y27" s="9"/>
      <c r="Z27" s="9"/>
      <c r="AA27" s="9"/>
      <c r="AB27" s="5"/>
      <c r="AC27" s="5"/>
    </row>
    <row r="28" customFormat="false" ht="19.7" hidden="false" customHeight="false" outlineLevel="0" collapsed="false">
      <c r="A28" s="3" t="s">
        <v>18</v>
      </c>
      <c r="B28" s="3"/>
      <c r="C28" s="3"/>
      <c r="D28" s="3"/>
      <c r="E28" s="3"/>
      <c r="F28" s="3"/>
      <c r="G28" s="3"/>
      <c r="H28" s="3"/>
      <c r="I28" s="3"/>
      <c r="J28" s="3"/>
      <c r="K28" s="3"/>
      <c r="R28" s="4"/>
      <c r="S28" s="4"/>
      <c r="U28" s="9"/>
      <c r="V28" s="9"/>
      <c r="W28" s="9"/>
      <c r="X28" s="9"/>
      <c r="Y28" s="9"/>
      <c r="Z28" s="9"/>
      <c r="AA28" s="9"/>
      <c r="AB28" s="5"/>
      <c r="AC28" s="5"/>
    </row>
    <row r="29" customFormat="false" ht="15.75" hidden="false" customHeight="false" outlineLevel="0" collapsed="false">
      <c r="A29" s="5"/>
      <c r="B29" s="6" t="s">
        <v>2</v>
      </c>
      <c r="C29" s="6" t="s">
        <v>3</v>
      </c>
      <c r="D29" s="8" t="s">
        <v>4</v>
      </c>
      <c r="E29" s="8" t="s">
        <v>4</v>
      </c>
      <c r="F29" s="8" t="s">
        <v>4</v>
      </c>
      <c r="I29" s="7" t="s">
        <v>5</v>
      </c>
      <c r="J29" s="7" t="s">
        <v>5</v>
      </c>
      <c r="K29" s="7" t="s">
        <v>5</v>
      </c>
      <c r="R29" s="8"/>
      <c r="S29" s="8"/>
      <c r="U29" s="9"/>
      <c r="V29" s="9"/>
      <c r="W29" s="9"/>
      <c r="X29" s="9"/>
      <c r="Y29" s="9"/>
      <c r="Z29" s="9"/>
      <c r="AA29" s="9"/>
      <c r="AB29" s="5"/>
      <c r="AC29" s="5"/>
    </row>
    <row r="30" customFormat="false" ht="15.75" hidden="false" customHeight="false" outlineLevel="0" collapsed="false">
      <c r="A30" s="5"/>
      <c r="B30" s="6"/>
      <c r="C30" s="6"/>
      <c r="D30" s="7" t="s">
        <v>6</v>
      </c>
      <c r="E30" s="7" t="s">
        <v>7</v>
      </c>
      <c r="F30" s="7" t="s">
        <v>8</v>
      </c>
      <c r="I30" s="7" t="s">
        <v>6</v>
      </c>
      <c r="J30" s="7" t="s">
        <v>7</v>
      </c>
      <c r="K30" s="7" t="s">
        <v>8</v>
      </c>
      <c r="R30" s="9"/>
      <c r="S30" s="8"/>
      <c r="U30" s="9"/>
      <c r="V30" s="9"/>
      <c r="W30" s="9"/>
      <c r="X30" s="9"/>
      <c r="Y30" s="9"/>
      <c r="Z30" s="9"/>
      <c r="AA30" s="9"/>
      <c r="AB30" s="5"/>
      <c r="AC30" s="35"/>
    </row>
    <row r="31" customFormat="false" ht="15.75" hidden="false" customHeight="false" outlineLevel="0" collapsed="false">
      <c r="A31" s="7" t="s">
        <v>9</v>
      </c>
      <c r="B31" s="36" t="s">
        <v>19</v>
      </c>
      <c r="C31" s="36" t="s">
        <v>20</v>
      </c>
      <c r="D31" s="36" t="s">
        <v>21</v>
      </c>
      <c r="E31" s="36" t="s">
        <v>22</v>
      </c>
      <c r="F31" s="36" t="s">
        <v>23</v>
      </c>
      <c r="H31" s="12" t="s">
        <v>10</v>
      </c>
      <c r="I31" s="36" t="s">
        <v>24</v>
      </c>
      <c r="J31" s="36" t="s">
        <v>25</v>
      </c>
      <c r="K31" s="36" t="s">
        <v>26</v>
      </c>
      <c r="R31" s="9"/>
      <c r="S31" s="36"/>
      <c r="U31" s="9"/>
      <c r="V31" s="9"/>
      <c r="W31" s="9"/>
      <c r="X31" s="9"/>
      <c r="Y31" s="9"/>
      <c r="Z31" s="9"/>
      <c r="AA31" s="9"/>
      <c r="AB31" s="5"/>
      <c r="AC31" s="5"/>
    </row>
    <row r="32" customFormat="false" ht="15.75" hidden="false" customHeight="false" outlineLevel="0" collapsed="false">
      <c r="A32" s="7" t="s">
        <v>9</v>
      </c>
      <c r="B32" s="36" t="s">
        <v>27</v>
      </c>
      <c r="C32" s="36" t="s">
        <v>28</v>
      </c>
      <c r="D32" s="36" t="s">
        <v>29</v>
      </c>
      <c r="E32" s="36" t="s">
        <v>30</v>
      </c>
      <c r="F32" s="36" t="s">
        <v>31</v>
      </c>
      <c r="H32" s="12" t="s">
        <v>10</v>
      </c>
      <c r="I32" s="36" t="s">
        <v>32</v>
      </c>
      <c r="J32" s="36" t="s">
        <v>33</v>
      </c>
      <c r="K32" s="36" t="s">
        <v>34</v>
      </c>
      <c r="R32" s="9"/>
      <c r="S32" s="36"/>
      <c r="U32" s="9"/>
      <c r="V32" s="9"/>
      <c r="W32" s="9"/>
      <c r="X32" s="9"/>
      <c r="Y32" s="9"/>
      <c r="Z32" s="9"/>
      <c r="AA32" s="9"/>
      <c r="AB32" s="5"/>
      <c r="AC32" s="5"/>
    </row>
    <row r="33" customFormat="false" ht="15.75" hidden="false" customHeight="false" outlineLevel="0" collapsed="false">
      <c r="A33" s="7" t="s">
        <v>11</v>
      </c>
      <c r="B33" s="36" t="s">
        <v>35</v>
      </c>
      <c r="C33" s="36" t="s">
        <v>36</v>
      </c>
      <c r="D33" s="36" t="s">
        <v>37</v>
      </c>
      <c r="E33" s="36" t="s">
        <v>38</v>
      </c>
      <c r="F33" s="36" t="s">
        <v>39</v>
      </c>
      <c r="H33" s="12" t="s">
        <v>12</v>
      </c>
      <c r="I33" s="37" t="s">
        <v>40</v>
      </c>
      <c r="J33" s="36" t="s">
        <v>41</v>
      </c>
      <c r="K33" s="36" t="s">
        <v>42</v>
      </c>
      <c r="R33" s="9"/>
      <c r="S33" s="36"/>
      <c r="U33" s="9"/>
      <c r="V33" s="9"/>
      <c r="W33" s="9"/>
      <c r="X33" s="9"/>
      <c r="Y33" s="9"/>
      <c r="Z33" s="9"/>
      <c r="AA33" s="9"/>
      <c r="AB33" s="5"/>
      <c r="AC33" s="5"/>
    </row>
    <row r="34" customFormat="false" ht="15.75" hidden="false" customHeight="false" outlineLevel="0" collapsed="false">
      <c r="A34" s="7" t="s">
        <v>11</v>
      </c>
      <c r="B34" s="36" t="s">
        <v>43</v>
      </c>
      <c r="C34" s="36" t="s">
        <v>44</v>
      </c>
      <c r="D34" s="36" t="s">
        <v>45</v>
      </c>
      <c r="E34" s="36" t="s">
        <v>46</v>
      </c>
      <c r="F34" s="36" t="s">
        <v>47</v>
      </c>
      <c r="H34" s="12" t="s">
        <v>12</v>
      </c>
      <c r="I34" s="36" t="s">
        <v>48</v>
      </c>
      <c r="J34" s="36" t="s">
        <v>49</v>
      </c>
      <c r="K34" s="36" t="s">
        <v>50</v>
      </c>
      <c r="R34" s="9"/>
      <c r="S34" s="36"/>
      <c r="U34" s="13"/>
      <c r="V34" s="13"/>
      <c r="W34" s="13"/>
      <c r="X34" s="13"/>
      <c r="Y34" s="13"/>
      <c r="Z34" s="13"/>
      <c r="AA34" s="14"/>
      <c r="AB34" s="5"/>
      <c r="AC34" s="5"/>
    </row>
    <row r="35" customFormat="false" ht="15.75" hidden="false" customHeight="false" outlineLevel="0" collapsed="false">
      <c r="A35" s="5"/>
      <c r="B35" s="36"/>
      <c r="C35" s="36"/>
      <c r="D35" s="38"/>
      <c r="E35" s="38"/>
      <c r="F35" s="38"/>
      <c r="H35" s="12" t="s">
        <v>13</v>
      </c>
      <c r="I35" s="36" t="s">
        <v>51</v>
      </c>
      <c r="J35" s="36" t="s">
        <v>52</v>
      </c>
      <c r="K35" s="36" t="s">
        <v>53</v>
      </c>
      <c r="R35" s="9"/>
      <c r="S35" s="38"/>
      <c r="U35" s="14"/>
      <c r="V35" s="14"/>
      <c r="W35" s="14"/>
      <c r="X35" s="14"/>
      <c r="Y35" s="14"/>
      <c r="Z35" s="14"/>
      <c r="AA35" s="14"/>
      <c r="AB35" s="5"/>
      <c r="AC35" s="5"/>
    </row>
    <row r="36" customFormat="false" ht="15.75" hidden="false" customHeight="false" outlineLevel="0" collapsed="false">
      <c r="A36" s="5"/>
      <c r="B36" s="36"/>
      <c r="C36" s="36"/>
      <c r="D36" s="38"/>
      <c r="E36" s="38"/>
      <c r="F36" s="38"/>
      <c r="H36" s="12" t="s">
        <v>13</v>
      </c>
      <c r="I36" s="36" t="s">
        <v>51</v>
      </c>
      <c r="J36" s="36" t="s">
        <v>54</v>
      </c>
      <c r="K36" s="38"/>
      <c r="R36" s="9"/>
      <c r="S36" s="38"/>
      <c r="U36" s="38"/>
      <c r="V36" s="38"/>
      <c r="W36" s="38"/>
      <c r="X36" s="38"/>
      <c r="Y36" s="38"/>
      <c r="Z36" s="38"/>
      <c r="AA36" s="38"/>
      <c r="AB36" s="5"/>
      <c r="AC36" s="5"/>
    </row>
    <row r="37" customFormat="false" ht="15.75" hidden="false" customHeight="false" outlineLevel="0" collapsed="false">
      <c r="A37" s="32" t="s">
        <v>14</v>
      </c>
      <c r="B37" s="33" t="s">
        <v>55</v>
      </c>
      <c r="C37" s="33" t="s">
        <v>56</v>
      </c>
      <c r="D37" s="33" t="s">
        <v>57</v>
      </c>
      <c r="E37" s="33" t="s">
        <v>58</v>
      </c>
      <c r="F37" s="39" t="s">
        <v>59</v>
      </c>
      <c r="I37" s="33" t="s">
        <v>42</v>
      </c>
      <c r="J37" s="33" t="s">
        <v>30</v>
      </c>
      <c r="K37" s="33" t="s">
        <v>60</v>
      </c>
      <c r="R37" s="9"/>
      <c r="S37" s="40"/>
      <c r="U37" s="38"/>
      <c r="V37" s="38"/>
      <c r="W37" s="38"/>
      <c r="X37" s="38"/>
      <c r="Y37" s="38"/>
      <c r="Z37" s="38"/>
      <c r="AA37" s="38"/>
      <c r="AB37" s="5"/>
      <c r="AC37" s="5"/>
    </row>
    <row r="38" customFormat="false" ht="15.75" hidden="false" customHeight="false" outlineLevel="0" collapsed="false">
      <c r="A38" s="20" t="s">
        <v>15</v>
      </c>
      <c r="B38" s="41" t="s">
        <v>61</v>
      </c>
      <c r="C38" s="41" t="s">
        <v>62</v>
      </c>
      <c r="D38" s="41" t="s">
        <v>63</v>
      </c>
      <c r="E38" s="41" t="s">
        <v>64</v>
      </c>
      <c r="F38" s="41" t="s">
        <v>65</v>
      </c>
      <c r="I38" s="41" t="s">
        <v>66</v>
      </c>
      <c r="J38" s="41" t="s">
        <v>67</v>
      </c>
      <c r="K38" s="41" t="s">
        <v>68</v>
      </c>
      <c r="R38" s="9"/>
      <c r="S38" s="40"/>
      <c r="U38" s="22"/>
      <c r="V38" s="22"/>
      <c r="W38" s="22"/>
      <c r="X38" s="22"/>
      <c r="Y38" s="22"/>
      <c r="Z38" s="22"/>
      <c r="AA38" s="22"/>
      <c r="AB38" s="5"/>
      <c r="AC38" s="5"/>
    </row>
    <row r="39" customFormat="false" ht="15.75" hidden="false" customHeight="false" outlineLevel="0" collapsed="false">
      <c r="A39" s="23" t="s">
        <v>16</v>
      </c>
      <c r="B39" s="24" t="n">
        <v>0.0924</v>
      </c>
      <c r="C39" s="24" t="n">
        <v>0.0891</v>
      </c>
      <c r="D39" s="25" t="n">
        <v>0.0182</v>
      </c>
      <c r="E39" s="24" t="n">
        <v>0.0357</v>
      </c>
      <c r="F39" s="24" t="n">
        <v>0.0214</v>
      </c>
      <c r="I39" s="24" t="n">
        <v>0.3677</v>
      </c>
      <c r="J39" s="24" t="n">
        <v>0.1192</v>
      </c>
      <c r="K39" s="24" t="n">
        <v>0.0333</v>
      </c>
      <c r="R39" s="9"/>
      <c r="S39" s="26"/>
      <c r="U39" s="14"/>
      <c r="V39" s="14"/>
      <c r="W39" s="27"/>
      <c r="X39" s="14"/>
      <c r="Y39" s="14"/>
      <c r="Z39" s="14"/>
      <c r="AA39" s="14"/>
      <c r="AB39" s="5"/>
      <c r="AC39" s="5"/>
    </row>
    <row r="40" customFormat="false" ht="15.7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R40" s="9"/>
      <c r="S40" s="9"/>
      <c r="U40" s="14"/>
      <c r="V40" s="14"/>
      <c r="W40" s="27"/>
      <c r="X40" s="14"/>
      <c r="Y40" s="14"/>
      <c r="Z40" s="14"/>
      <c r="AA40" s="14"/>
      <c r="AB40" s="5"/>
      <c r="AC40" s="5"/>
    </row>
    <row r="41" customFormat="false" ht="19.7" hidden="false" customHeight="false" outlineLevel="0" collapsed="false">
      <c r="A41" s="3" t="s">
        <v>69</v>
      </c>
      <c r="B41" s="3"/>
      <c r="C41" s="3"/>
      <c r="D41" s="3"/>
      <c r="E41" s="3"/>
      <c r="F41" s="3"/>
      <c r="G41" s="3"/>
      <c r="H41" s="3"/>
      <c r="I41" s="3"/>
      <c r="J41" s="3"/>
      <c r="K41" s="3"/>
      <c r="R41" s="4"/>
      <c r="S41" s="4"/>
      <c r="U41" s="14"/>
      <c r="V41" s="14"/>
      <c r="W41" s="27"/>
      <c r="X41" s="14"/>
      <c r="Y41" s="14"/>
      <c r="Z41" s="14"/>
      <c r="AA41" s="14"/>
      <c r="AB41" s="5"/>
      <c r="AC41" s="5"/>
    </row>
    <row r="42" customFormat="false" ht="15.75" hidden="false" customHeight="false" outlineLevel="0" collapsed="false">
      <c r="A42" s="5"/>
      <c r="B42" s="6" t="s">
        <v>2</v>
      </c>
      <c r="C42" s="6" t="s">
        <v>3</v>
      </c>
      <c r="D42" s="8" t="s">
        <v>4</v>
      </c>
      <c r="E42" s="8" t="s">
        <v>4</v>
      </c>
      <c r="F42" s="8" t="s">
        <v>4</v>
      </c>
      <c r="I42" s="7" t="s">
        <v>5</v>
      </c>
      <c r="J42" s="7" t="s">
        <v>5</v>
      </c>
      <c r="K42" s="7" t="s">
        <v>5</v>
      </c>
      <c r="R42" s="8"/>
      <c r="S42" s="8"/>
      <c r="U42" s="14"/>
      <c r="V42" s="14"/>
      <c r="W42" s="14"/>
      <c r="X42" s="14"/>
      <c r="Y42" s="14"/>
      <c r="Z42" s="14"/>
      <c r="AA42" s="14"/>
      <c r="AB42" s="5"/>
      <c r="AC42" s="5"/>
    </row>
    <row r="43" customFormat="false" ht="15.75" hidden="false" customHeight="false" outlineLevel="0" collapsed="false">
      <c r="A43" s="5"/>
      <c r="B43" s="6"/>
      <c r="C43" s="6"/>
      <c r="D43" s="7" t="s">
        <v>6</v>
      </c>
      <c r="E43" s="7" t="s">
        <v>7</v>
      </c>
      <c r="F43" s="7" t="s">
        <v>8</v>
      </c>
      <c r="I43" s="7" t="s">
        <v>6</v>
      </c>
      <c r="J43" s="7" t="s">
        <v>7</v>
      </c>
      <c r="K43" s="7" t="s">
        <v>8</v>
      </c>
      <c r="R43" s="9"/>
      <c r="S43" s="8"/>
      <c r="U43" s="14"/>
      <c r="V43" s="14"/>
      <c r="W43" s="14"/>
      <c r="X43" s="27"/>
      <c r="Y43" s="27"/>
      <c r="Z43" s="14"/>
      <c r="AA43" s="14"/>
      <c r="AB43" s="5"/>
      <c r="AC43" s="5"/>
    </row>
    <row r="44" customFormat="false" ht="15.75" hidden="false" customHeight="false" outlineLevel="0" collapsed="false">
      <c r="A44" s="7" t="s">
        <v>9</v>
      </c>
      <c r="B44" s="36" t="s">
        <v>70</v>
      </c>
      <c r="C44" s="42" t="s">
        <v>71</v>
      </c>
      <c r="D44" s="42" t="s">
        <v>72</v>
      </c>
      <c r="E44" s="36" t="s">
        <v>73</v>
      </c>
      <c r="F44" s="42" t="s">
        <v>74</v>
      </c>
      <c r="H44" s="12" t="s">
        <v>10</v>
      </c>
      <c r="I44" s="36" t="s">
        <v>75</v>
      </c>
      <c r="J44" s="36" t="s">
        <v>76</v>
      </c>
      <c r="K44" s="36" t="s">
        <v>77</v>
      </c>
      <c r="R44" s="9"/>
      <c r="S44" s="36"/>
      <c r="U44" s="43"/>
      <c r="V44" s="43"/>
      <c r="W44" s="43"/>
      <c r="X44" s="43"/>
      <c r="Y44" s="14"/>
      <c r="Z44" s="14"/>
      <c r="AA44" s="14"/>
      <c r="AB44" s="5"/>
      <c r="AC44" s="5"/>
    </row>
    <row r="45" customFormat="false" ht="15.75" hidden="false" customHeight="false" outlineLevel="0" collapsed="false">
      <c r="A45" s="7" t="s">
        <v>9</v>
      </c>
      <c r="B45" s="36" t="s">
        <v>78</v>
      </c>
      <c r="C45" s="42" t="s">
        <v>79</v>
      </c>
      <c r="D45" s="42" t="s">
        <v>80</v>
      </c>
      <c r="E45" s="36" t="s">
        <v>81</v>
      </c>
      <c r="F45" s="42" t="s">
        <v>82</v>
      </c>
      <c r="H45" s="12" t="s">
        <v>10</v>
      </c>
      <c r="I45" s="36" t="s">
        <v>83</v>
      </c>
      <c r="J45" s="36" t="s">
        <v>84</v>
      </c>
      <c r="K45" s="36" t="s">
        <v>85</v>
      </c>
      <c r="R45" s="9"/>
      <c r="S45" s="36"/>
      <c r="U45" s="43"/>
      <c r="V45" s="43"/>
      <c r="W45" s="43"/>
      <c r="X45" s="43"/>
      <c r="Y45" s="14"/>
      <c r="Z45" s="14"/>
      <c r="AA45" s="14"/>
      <c r="AB45" s="5"/>
      <c r="AC45" s="5"/>
    </row>
    <row r="46" customFormat="false" ht="15.75" hidden="false" customHeight="false" outlineLevel="0" collapsed="false">
      <c r="A46" s="7" t="s">
        <v>11</v>
      </c>
      <c r="B46" s="36" t="s">
        <v>86</v>
      </c>
      <c r="C46" s="42" t="s">
        <v>87</v>
      </c>
      <c r="D46" s="42" t="s">
        <v>88</v>
      </c>
      <c r="E46" s="36" t="s">
        <v>89</v>
      </c>
      <c r="F46" s="42" t="s">
        <v>90</v>
      </c>
      <c r="H46" s="12" t="s">
        <v>12</v>
      </c>
      <c r="I46" s="36" t="s">
        <v>91</v>
      </c>
      <c r="J46" s="36" t="s">
        <v>92</v>
      </c>
      <c r="K46" s="36" t="s">
        <v>93</v>
      </c>
      <c r="R46" s="9"/>
      <c r="S46" s="36"/>
      <c r="U46" s="14"/>
      <c r="V46" s="14"/>
      <c r="W46" s="27"/>
      <c r="X46" s="14"/>
      <c r="Y46" s="14"/>
      <c r="Z46" s="14"/>
      <c r="AA46" s="14"/>
      <c r="AB46" s="5"/>
      <c r="AC46" s="5"/>
    </row>
    <row r="47" customFormat="false" ht="15.75" hidden="false" customHeight="false" outlineLevel="0" collapsed="false">
      <c r="A47" s="7" t="s">
        <v>11</v>
      </c>
      <c r="B47" s="36" t="s">
        <v>94</v>
      </c>
      <c r="C47" s="42" t="s">
        <v>95</v>
      </c>
      <c r="D47" s="42" t="s">
        <v>96</v>
      </c>
      <c r="E47" s="36" t="s">
        <v>97</v>
      </c>
      <c r="F47" s="42" t="s">
        <v>98</v>
      </c>
      <c r="H47" s="12" t="s">
        <v>12</v>
      </c>
      <c r="I47" s="36" t="s">
        <v>99</v>
      </c>
      <c r="J47" s="36" t="s">
        <v>100</v>
      </c>
      <c r="K47" s="36" t="s">
        <v>101</v>
      </c>
      <c r="R47" s="9"/>
      <c r="S47" s="36"/>
      <c r="U47" s="13"/>
      <c r="V47" s="13"/>
      <c r="W47" s="13"/>
      <c r="X47" s="13"/>
      <c r="Y47" s="13"/>
      <c r="Z47" s="13"/>
      <c r="AA47" s="14"/>
      <c r="AB47" s="5"/>
      <c r="AC47" s="5"/>
    </row>
    <row r="48" customFormat="false" ht="15.75" hidden="false" customHeight="false" outlineLevel="0" collapsed="false">
      <c r="A48" s="5"/>
      <c r="B48" s="36"/>
      <c r="C48" s="42"/>
      <c r="D48" s="42"/>
      <c r="E48" s="38"/>
      <c r="F48" s="42"/>
      <c r="H48" s="12" t="s">
        <v>13</v>
      </c>
      <c r="I48" s="36" t="s">
        <v>102</v>
      </c>
      <c r="J48" s="36" t="s">
        <v>103</v>
      </c>
      <c r="K48" s="36" t="s">
        <v>104</v>
      </c>
      <c r="R48" s="9"/>
      <c r="S48" s="38"/>
      <c r="U48" s="14"/>
      <c r="V48" s="14"/>
      <c r="W48" s="14"/>
      <c r="X48" s="14"/>
      <c r="Y48" s="14"/>
      <c r="Z48" s="14"/>
      <c r="AA48" s="14"/>
      <c r="AB48" s="5"/>
      <c r="AC48" s="5"/>
    </row>
    <row r="49" customFormat="false" ht="15.75" hidden="false" customHeight="false" outlineLevel="0" collapsed="false">
      <c r="A49" s="5"/>
      <c r="B49" s="36"/>
      <c r="C49" s="42"/>
      <c r="D49" s="42"/>
      <c r="E49" s="38"/>
      <c r="F49" s="42"/>
      <c r="H49" s="12" t="s">
        <v>13</v>
      </c>
      <c r="I49" s="36" t="s">
        <v>105</v>
      </c>
      <c r="J49" s="36" t="s">
        <v>106</v>
      </c>
      <c r="K49" s="38"/>
      <c r="R49" s="9"/>
      <c r="S49" s="38"/>
      <c r="U49" s="38"/>
      <c r="V49" s="38"/>
      <c r="W49" s="38"/>
      <c r="X49" s="38"/>
      <c r="Y49" s="38"/>
      <c r="Z49" s="38"/>
      <c r="AA49" s="38"/>
      <c r="AB49" s="5"/>
      <c r="AC49" s="5"/>
    </row>
    <row r="50" customFormat="false" ht="15.75" hidden="false" customHeight="false" outlineLevel="0" collapsed="false">
      <c r="A50" s="32" t="s">
        <v>14</v>
      </c>
      <c r="B50" s="33" t="s">
        <v>107</v>
      </c>
      <c r="C50" s="44" t="s">
        <v>108</v>
      </c>
      <c r="D50" s="45" t="s">
        <v>109</v>
      </c>
      <c r="E50" s="33" t="s">
        <v>110</v>
      </c>
      <c r="F50" s="44" t="s">
        <v>79</v>
      </c>
      <c r="I50" s="33" t="s">
        <v>111</v>
      </c>
      <c r="J50" s="33" t="s">
        <v>112</v>
      </c>
      <c r="K50" s="33" t="s">
        <v>85</v>
      </c>
      <c r="R50" s="9"/>
      <c r="S50" s="40"/>
      <c r="U50" s="38"/>
      <c r="V50" s="38"/>
      <c r="W50" s="38"/>
      <c r="X50" s="38"/>
      <c r="Y50" s="38"/>
      <c r="Z50" s="38"/>
      <c r="AA50" s="38"/>
      <c r="AB50" s="5"/>
      <c r="AC50" s="5"/>
    </row>
    <row r="51" customFormat="false" ht="15.75" hidden="false" customHeight="false" outlineLevel="0" collapsed="false">
      <c r="A51" s="20" t="s">
        <v>15</v>
      </c>
      <c r="B51" s="41" t="s">
        <v>113</v>
      </c>
      <c r="C51" s="8" t="s">
        <v>114</v>
      </c>
      <c r="D51" s="8" t="s">
        <v>115</v>
      </c>
      <c r="E51" s="41" t="s">
        <v>116</v>
      </c>
      <c r="F51" s="8" t="s">
        <v>117</v>
      </c>
      <c r="I51" s="41" t="s">
        <v>118</v>
      </c>
      <c r="J51" s="41" t="s">
        <v>119</v>
      </c>
      <c r="K51" s="41" t="s">
        <v>120</v>
      </c>
      <c r="R51" s="9"/>
      <c r="S51" s="40"/>
      <c r="U51" s="22"/>
      <c r="V51" s="22"/>
      <c r="W51" s="22"/>
      <c r="X51" s="22"/>
      <c r="Y51" s="22"/>
      <c r="Z51" s="22"/>
      <c r="AA51" s="22"/>
      <c r="AB51" s="5"/>
      <c r="AC51" s="5"/>
    </row>
    <row r="52" customFormat="false" ht="15.75" hidden="false" customHeight="false" outlineLevel="0" collapsed="false">
      <c r="A52" s="23" t="s">
        <v>16</v>
      </c>
      <c r="B52" s="24" t="n">
        <v>0.0935</v>
      </c>
      <c r="C52" s="8" t="s">
        <v>121</v>
      </c>
      <c r="D52" s="8" t="s">
        <v>122</v>
      </c>
      <c r="E52" s="24" t="n">
        <v>0.0275</v>
      </c>
      <c r="F52" s="46" t="s">
        <v>123</v>
      </c>
      <c r="I52" s="24" t="n">
        <v>0.3701</v>
      </c>
      <c r="J52" s="24" t="n">
        <v>0.0384</v>
      </c>
      <c r="K52" s="24" t="n">
        <v>0.0185</v>
      </c>
      <c r="R52" s="9"/>
      <c r="S52" s="26"/>
      <c r="U52" s="14"/>
      <c r="V52" s="14"/>
      <c r="W52" s="14"/>
      <c r="X52" s="14"/>
      <c r="Y52" s="14"/>
      <c r="Z52" s="14"/>
      <c r="AA52" s="14"/>
      <c r="AB52" s="5"/>
      <c r="AC52" s="5"/>
    </row>
    <row r="53" customFormat="false" ht="15.75" hidden="false" customHeight="false" outlineLevel="0" collapsed="false">
      <c r="A53" s="9"/>
      <c r="B53" s="9"/>
      <c r="C53" s="9"/>
      <c r="D53" s="9"/>
      <c r="E53" s="9"/>
      <c r="F53" s="9"/>
      <c r="G53" s="9"/>
      <c r="R53" s="9"/>
      <c r="S53" s="9"/>
      <c r="U53" s="14"/>
      <c r="V53" s="14"/>
      <c r="W53" s="14"/>
      <c r="X53" s="14"/>
      <c r="Y53" s="14"/>
      <c r="Z53" s="14"/>
      <c r="AA53" s="14"/>
      <c r="AB53" s="5"/>
      <c r="AC53" s="5"/>
    </row>
    <row r="54" customFormat="false" ht="19.7" hidden="false" customHeight="false" outlineLevel="0" collapsed="false">
      <c r="A54" s="3" t="s">
        <v>124</v>
      </c>
      <c r="B54" s="3"/>
      <c r="C54" s="3"/>
      <c r="D54" s="3"/>
      <c r="E54" s="3"/>
      <c r="F54" s="3"/>
      <c r="G54" s="3"/>
      <c r="H54" s="3"/>
      <c r="I54" s="3"/>
      <c r="J54" s="3"/>
      <c r="K54" s="3"/>
      <c r="R54" s="4"/>
      <c r="S54" s="4"/>
      <c r="U54" s="14"/>
      <c r="V54" s="14"/>
      <c r="W54" s="14"/>
      <c r="X54" s="14"/>
      <c r="Y54" s="14"/>
      <c r="Z54" s="14"/>
      <c r="AA54" s="14"/>
      <c r="AB54" s="5"/>
      <c r="AC54" s="5"/>
    </row>
    <row r="55" customFormat="false" ht="15.75" hidden="false" customHeight="false" outlineLevel="0" collapsed="false">
      <c r="A55" s="2"/>
      <c r="B55" s="6" t="s">
        <v>2</v>
      </c>
      <c r="C55" s="6" t="s">
        <v>3</v>
      </c>
      <c r="D55" s="8" t="s">
        <v>4</v>
      </c>
      <c r="E55" s="8" t="s">
        <v>4</v>
      </c>
      <c r="F55" s="8" t="s">
        <v>4</v>
      </c>
      <c r="I55" s="7" t="s">
        <v>5</v>
      </c>
      <c r="J55" s="7" t="s">
        <v>5</v>
      </c>
      <c r="K55" s="7" t="s">
        <v>5</v>
      </c>
      <c r="R55" s="8"/>
      <c r="S55" s="8"/>
      <c r="U55" s="14"/>
      <c r="V55" s="14"/>
      <c r="W55" s="14"/>
      <c r="X55" s="14"/>
      <c r="Y55" s="14"/>
      <c r="Z55" s="14"/>
      <c r="AA55" s="14"/>
      <c r="AB55" s="5"/>
      <c r="AC55" s="5"/>
    </row>
    <row r="56" customFormat="false" ht="15.75" hidden="false" customHeight="false" outlineLevel="0" collapsed="false">
      <c r="A56" s="5"/>
      <c r="B56" s="6"/>
      <c r="C56" s="6"/>
      <c r="D56" s="7" t="s">
        <v>6</v>
      </c>
      <c r="E56" s="7" t="s">
        <v>7</v>
      </c>
      <c r="F56" s="7" t="s">
        <v>8</v>
      </c>
      <c r="I56" s="7" t="s">
        <v>6</v>
      </c>
      <c r="J56" s="7" t="s">
        <v>7</v>
      </c>
      <c r="K56" s="7" t="s">
        <v>8</v>
      </c>
      <c r="R56" s="9"/>
      <c r="S56" s="8"/>
      <c r="U56" s="14"/>
      <c r="V56" s="14"/>
      <c r="W56" s="14"/>
      <c r="X56" s="14"/>
      <c r="Y56" s="14"/>
      <c r="Z56" s="14"/>
      <c r="AA56" s="14"/>
      <c r="AB56" s="5"/>
      <c r="AC56" s="5"/>
    </row>
    <row r="57" customFormat="false" ht="15.75" hidden="false" customHeight="false" outlineLevel="0" collapsed="false">
      <c r="A57" s="7" t="s">
        <v>9</v>
      </c>
      <c r="B57" s="11" t="n">
        <v>1.25335165110835</v>
      </c>
      <c r="C57" s="11" t="n">
        <v>1.16558153479078</v>
      </c>
      <c r="D57" s="11" t="n">
        <v>1.5360146365416</v>
      </c>
      <c r="E57" s="11" t="n">
        <v>2.81427614498398</v>
      </c>
      <c r="F57" s="11" t="n">
        <v>1.13107774967408</v>
      </c>
      <c r="H57" s="12" t="s">
        <v>10</v>
      </c>
      <c r="I57" s="11" t="n">
        <v>1.45084671087803</v>
      </c>
      <c r="J57" s="11" t="n">
        <v>1.34122132061556</v>
      </c>
      <c r="K57" s="11" t="n">
        <v>1.17650770094843</v>
      </c>
      <c r="R57" s="9"/>
      <c r="S57" s="47"/>
      <c r="U57" s="14"/>
      <c r="V57" s="14"/>
      <c r="W57" s="14"/>
      <c r="X57" s="14"/>
      <c r="Y57" s="14"/>
      <c r="Z57" s="14"/>
      <c r="AA57" s="14"/>
      <c r="AB57" s="5"/>
      <c r="AC57" s="5"/>
    </row>
    <row r="58" customFormat="false" ht="15.75" hidden="false" customHeight="false" outlineLevel="0" collapsed="false">
      <c r="A58" s="7" t="s">
        <v>9</v>
      </c>
      <c r="B58" s="11" t="n">
        <v>2.0697313896263</v>
      </c>
      <c r="C58" s="11" t="n">
        <v>4.35025999357603</v>
      </c>
      <c r="D58" s="11" t="n">
        <v>1.73194405769513</v>
      </c>
      <c r="E58" s="11" t="n">
        <v>1.75221859162765</v>
      </c>
      <c r="F58" s="11" t="n">
        <v>1.13749671279672</v>
      </c>
      <c r="H58" s="12" t="s">
        <v>10</v>
      </c>
      <c r="I58" s="11" t="n">
        <v>0.950832318743804</v>
      </c>
      <c r="J58" s="11" t="n">
        <v>4.3586584783916</v>
      </c>
      <c r="K58" s="11" t="n">
        <v>0.929680091292142</v>
      </c>
      <c r="R58" s="9"/>
      <c r="S58" s="47"/>
      <c r="U58" s="43"/>
      <c r="V58" s="43"/>
      <c r="W58" s="43"/>
      <c r="X58" s="14"/>
      <c r="Y58" s="14"/>
      <c r="Z58" s="14"/>
      <c r="AA58" s="14"/>
      <c r="AB58" s="5"/>
      <c r="AC58" s="5"/>
    </row>
    <row r="59" customFormat="false" ht="15.75" hidden="false" customHeight="false" outlineLevel="0" collapsed="false">
      <c r="A59" s="7" t="s">
        <v>11</v>
      </c>
      <c r="B59" s="11" t="n">
        <v>1.96007317610245</v>
      </c>
      <c r="C59" s="11" t="n">
        <v>3.00365431891898</v>
      </c>
      <c r="D59" s="11" t="n">
        <v>1.06834914575985</v>
      </c>
      <c r="E59" s="11" t="n">
        <v>1.14844008877663</v>
      </c>
      <c r="F59" s="11" t="n">
        <v>0.855144974391903</v>
      </c>
      <c r="H59" s="12" t="s">
        <v>12</v>
      </c>
      <c r="I59" s="11" t="n">
        <v>1.52950259089204</v>
      </c>
      <c r="J59" s="11" t="n">
        <v>2.31176934534511</v>
      </c>
      <c r="K59" s="11" t="n">
        <v>2.19343163224719</v>
      </c>
      <c r="R59" s="9"/>
      <c r="S59" s="47"/>
      <c r="U59" s="14"/>
      <c r="V59" s="14"/>
      <c r="W59" s="14"/>
      <c r="X59" s="14"/>
      <c r="Y59" s="14"/>
      <c r="Z59" s="14"/>
      <c r="AA59" s="14"/>
      <c r="AB59" s="5"/>
      <c r="AC59" s="5"/>
    </row>
    <row r="60" customFormat="false" ht="15.75" hidden="false" customHeight="false" outlineLevel="0" collapsed="false">
      <c r="A60" s="7" t="s">
        <v>11</v>
      </c>
      <c r="B60" s="11" t="n">
        <v>4.61581089941704</v>
      </c>
      <c r="C60" s="11" t="n">
        <v>1.85309864290929</v>
      </c>
      <c r="D60" s="11" t="n">
        <v>1.00053326934216</v>
      </c>
      <c r="E60" s="11" t="n">
        <v>1.17025645632938</v>
      </c>
      <c r="F60" s="11" t="n">
        <v>1.28313113589639</v>
      </c>
      <c r="H60" s="12" t="s">
        <v>12</v>
      </c>
      <c r="I60" s="11" t="n">
        <v>2.11527874120466</v>
      </c>
      <c r="J60" s="11" t="n">
        <v>2.29116105725885</v>
      </c>
      <c r="K60" s="11" t="n">
        <v>0.950660879231437</v>
      </c>
      <c r="R60" s="9"/>
      <c r="S60" s="47"/>
      <c r="U60" s="13"/>
      <c r="V60" s="13"/>
      <c r="W60" s="13"/>
      <c r="X60" s="13"/>
      <c r="Y60" s="13"/>
      <c r="Z60" s="13"/>
      <c r="AA60" s="14"/>
      <c r="AB60" s="9"/>
      <c r="AC60" s="9"/>
    </row>
    <row r="61" customFormat="false" ht="15.75" hidden="false" customHeight="false" outlineLevel="0" collapsed="false">
      <c r="A61" s="2"/>
      <c r="B61" s="11"/>
      <c r="C61" s="11"/>
      <c r="D61" s="15"/>
      <c r="E61" s="15"/>
      <c r="F61" s="15"/>
      <c r="H61" s="12" t="s">
        <v>13</v>
      </c>
      <c r="I61" s="11" t="n">
        <v>4.13505543693984</v>
      </c>
      <c r="J61" s="11" t="n">
        <v>1.79474472169289</v>
      </c>
      <c r="K61" s="11" t="n">
        <v>0.833561355550175</v>
      </c>
      <c r="R61" s="9"/>
      <c r="S61" s="38"/>
      <c r="U61" s="14"/>
      <c r="V61" s="14"/>
      <c r="W61" s="14"/>
      <c r="X61" s="14"/>
      <c r="Y61" s="14"/>
      <c r="Z61" s="14"/>
      <c r="AA61" s="14"/>
      <c r="AB61" s="9"/>
      <c r="AC61" s="5"/>
    </row>
    <row r="62" customFormat="false" ht="15.75" hidden="false" customHeight="false" outlineLevel="0" collapsed="false">
      <c r="A62" s="5"/>
      <c r="B62" s="11"/>
      <c r="C62" s="11"/>
      <c r="D62" s="15"/>
      <c r="E62" s="15"/>
      <c r="F62" s="15"/>
      <c r="H62" s="12" t="s">
        <v>13</v>
      </c>
      <c r="I62" s="11" t="n">
        <v>4.10546776326858</v>
      </c>
      <c r="J62" s="11" t="n">
        <v>1.57081666397562</v>
      </c>
      <c r="K62" s="15"/>
      <c r="R62" s="9"/>
      <c r="S62" s="38"/>
      <c r="U62" s="38"/>
      <c r="V62" s="38"/>
      <c r="W62" s="38"/>
      <c r="X62" s="38"/>
      <c r="Y62" s="38"/>
      <c r="Z62" s="38"/>
      <c r="AA62" s="38"/>
      <c r="AB62" s="9"/>
      <c r="AC62" s="9"/>
    </row>
    <row r="63" customFormat="false" ht="15.75" hidden="false" customHeight="false" outlineLevel="0" collapsed="false">
      <c r="A63" s="32" t="s">
        <v>14</v>
      </c>
      <c r="B63" s="48" t="n">
        <f aca="false">AVERAGE(B57:B62)</f>
        <v>2.47474177906354</v>
      </c>
      <c r="C63" s="48" t="n">
        <f aca="false">AVERAGE(C57:C62)</f>
        <v>2.59314862254877</v>
      </c>
      <c r="D63" s="48" t="n">
        <f aca="false">AVERAGE(D57:D62)</f>
        <v>1.33421027733469</v>
      </c>
      <c r="E63" s="48" t="n">
        <f aca="false">AVERAGE(E57:E62)</f>
        <v>1.72129782042941</v>
      </c>
      <c r="F63" s="49" t="n">
        <f aca="false">AVERAGE(F57:F62)</f>
        <v>1.10171264318977</v>
      </c>
      <c r="I63" s="48" t="n">
        <f aca="false">AVERAGE(I57:I62)</f>
        <v>2.38116392698783</v>
      </c>
      <c r="J63" s="48" t="n">
        <f aca="false">AVERAGE(J57:J62)</f>
        <v>2.27806193121327</v>
      </c>
      <c r="K63" s="48" t="n">
        <f aca="false">AVERAGE(K57:K62)</f>
        <v>1.21676833185387</v>
      </c>
      <c r="R63" s="9"/>
      <c r="S63" s="40"/>
      <c r="U63" s="38"/>
      <c r="V63" s="38"/>
      <c r="W63" s="38"/>
      <c r="X63" s="38"/>
      <c r="Y63" s="38"/>
      <c r="Z63" s="38"/>
      <c r="AA63" s="38"/>
      <c r="AB63" s="9"/>
      <c r="AC63" s="9"/>
    </row>
    <row r="64" customFormat="false" ht="15.75" hidden="false" customHeight="false" outlineLevel="0" collapsed="false">
      <c r="A64" s="20" t="s">
        <v>15</v>
      </c>
      <c r="B64" s="17" t="n">
        <f aca="false">STDEV(B57:B62)</f>
        <v>1.47251349843544</v>
      </c>
      <c r="C64" s="17" t="n">
        <f aca="false">STDEV(C57:C62)</f>
        <v>1.39541834340816</v>
      </c>
      <c r="D64" s="17" t="n">
        <f aca="false">STDEV(D57:D60)</f>
        <v>0.356342366449187</v>
      </c>
      <c r="E64" s="17" t="n">
        <f aca="false">STDEV(E57:E60)</f>
        <v>0.780463596781041</v>
      </c>
      <c r="F64" s="17" t="n">
        <f aca="false">STDEV(F57:F60)</f>
        <v>0.178746649300834</v>
      </c>
      <c r="I64" s="17" t="n">
        <f aca="false">STDEV(I57:I62)</f>
        <v>1.39690513235838</v>
      </c>
      <c r="J64" s="17" t="n">
        <f aca="false">STDEV(J57:J62)</f>
        <v>1.09010563632289</v>
      </c>
      <c r="K64" s="17" t="n">
        <f aca="false">STDEV(K57:K62)</f>
        <v>0.560261666909741</v>
      </c>
      <c r="R64" s="9"/>
      <c r="S64" s="40"/>
      <c r="U64" s="22"/>
      <c r="V64" s="22"/>
      <c r="W64" s="22"/>
      <c r="X64" s="22"/>
      <c r="Y64" s="22"/>
      <c r="Z64" s="22"/>
      <c r="AA64" s="22"/>
      <c r="AB64" s="9"/>
      <c r="AC64" s="9"/>
    </row>
    <row r="65" customFormat="false" ht="15.75" hidden="false" customHeight="false" outlineLevel="0" collapsed="false">
      <c r="A65" s="23" t="s">
        <v>16</v>
      </c>
      <c r="B65" s="24" t="n">
        <f aca="false">ABS(B64/B63)</f>
        <v>0.595017027995807</v>
      </c>
      <c r="C65" s="24" t="n">
        <f aca="false">ABS(C64/C63)</f>
        <v>0.538117380266705</v>
      </c>
      <c r="D65" s="24" t="n">
        <f aca="false">ABS(D64/D63)</f>
        <v>0.267081113451653</v>
      </c>
      <c r="E65" s="24" t="n">
        <f aca="false">ABS(E64/E63)</f>
        <v>0.453415781695663</v>
      </c>
      <c r="F65" s="25" t="n">
        <f aca="false">ABS(F64/F63)</f>
        <v>0.16224434783948</v>
      </c>
      <c r="I65" s="24" t="n">
        <f aca="false">ABS(I64/I63)</f>
        <v>0.586648032303036</v>
      </c>
      <c r="J65" s="24" t="n">
        <f aca="false">ABS(J64/J63)</f>
        <v>0.478523266372445</v>
      </c>
      <c r="K65" s="24" t="n">
        <f aca="false">ABS(K64/K63)</f>
        <v>0.460450565849395</v>
      </c>
      <c r="R65" s="9"/>
      <c r="S65" s="26"/>
      <c r="U65" s="43"/>
      <c r="V65" s="43"/>
      <c r="W65" s="43"/>
      <c r="X65" s="14"/>
      <c r="Y65" s="14"/>
      <c r="Z65" s="14"/>
      <c r="AA65" s="14"/>
      <c r="AB65" s="9"/>
      <c r="AC65" s="9"/>
    </row>
    <row r="66" customFormat="false" ht="15.7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5"/>
      <c r="T66" s="43"/>
      <c r="U66" s="43"/>
      <c r="V66" s="43"/>
      <c r="W66" s="43"/>
      <c r="X66" s="14"/>
      <c r="Y66" s="14"/>
      <c r="Z66" s="14"/>
      <c r="AA66" s="14"/>
      <c r="AB66" s="5"/>
      <c r="AC66" s="5"/>
    </row>
    <row r="67" customFormat="false" ht="19.7" hidden="false" customHeight="false" outlineLevel="0" collapsed="false"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5"/>
      <c r="T67" s="14"/>
      <c r="U67" s="14"/>
      <c r="V67" s="14"/>
      <c r="W67" s="14"/>
      <c r="X67" s="14"/>
      <c r="Y67" s="14"/>
      <c r="Z67" s="14"/>
      <c r="AA67" s="14"/>
      <c r="AB67" s="5"/>
      <c r="AC67" s="5"/>
    </row>
    <row r="68" customFormat="false" ht="15.75" hidden="false" customHeight="false" outlineLevel="0" collapsed="false">
      <c r="F68" s="8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8"/>
      <c r="T68" s="14"/>
      <c r="U68" s="14"/>
      <c r="V68" s="14"/>
      <c r="W68" s="14"/>
      <c r="X68" s="14"/>
      <c r="Y68" s="14"/>
      <c r="Z68" s="14"/>
      <c r="AA68" s="14"/>
      <c r="AB68" s="5"/>
      <c r="AC68" s="5"/>
    </row>
    <row r="69" customFormat="false" ht="15.75" hidden="false" customHeight="false" outlineLevel="0" collapsed="false">
      <c r="F69" s="5"/>
      <c r="G69" s="8"/>
      <c r="H69" s="8"/>
      <c r="I69" s="7"/>
      <c r="J69" s="7"/>
      <c r="K69" s="7"/>
      <c r="L69" s="9"/>
      <c r="M69" s="8"/>
      <c r="N69" s="8"/>
      <c r="O69" s="9"/>
      <c r="P69" s="7"/>
      <c r="Q69" s="9"/>
      <c r="R69" s="8"/>
      <c r="S69" s="50"/>
      <c r="T69" s="14"/>
      <c r="U69" s="14"/>
      <c r="V69" s="14"/>
      <c r="W69" s="14"/>
      <c r="X69" s="14"/>
      <c r="Y69" s="14"/>
      <c r="Z69" s="14"/>
      <c r="AA69" s="14"/>
      <c r="AB69" s="5"/>
      <c r="AC69" s="5"/>
    </row>
    <row r="70" customFormat="false" ht="15.75" hidden="false" customHeight="false" outlineLevel="0" collapsed="false">
      <c r="F70" s="15"/>
      <c r="G70" s="11"/>
      <c r="H70" s="11"/>
      <c r="I70" s="11"/>
      <c r="J70" s="11"/>
      <c r="K70" s="11"/>
      <c r="L70" s="9"/>
      <c r="M70" s="11"/>
      <c r="N70" s="11"/>
      <c r="O70" s="9"/>
      <c r="P70" s="11"/>
      <c r="Q70" s="9"/>
      <c r="R70" s="11"/>
      <c r="S70" s="50"/>
      <c r="T70" s="14" t="n">
        <f aca="false">MIN(B70:R75)</f>
        <v>0</v>
      </c>
      <c r="U70" s="14"/>
      <c r="V70" s="14"/>
      <c r="W70" s="14"/>
      <c r="X70" s="14"/>
      <c r="Y70" s="14"/>
      <c r="Z70" s="14"/>
      <c r="AA70" s="14"/>
      <c r="AB70" s="5"/>
      <c r="AC70" s="5"/>
    </row>
    <row r="71" customFormat="false" ht="15.75" hidden="false" customHeight="false" outlineLevel="0" collapsed="false">
      <c r="F71" s="15"/>
      <c r="G71" s="11"/>
      <c r="H71" s="11"/>
      <c r="I71" s="11"/>
      <c r="J71" s="11"/>
      <c r="K71" s="11"/>
      <c r="L71" s="9"/>
      <c r="M71" s="11"/>
      <c r="N71" s="11"/>
      <c r="O71" s="9"/>
      <c r="P71" s="11"/>
      <c r="Q71" s="9"/>
      <c r="R71" s="11"/>
      <c r="S71" s="50"/>
      <c r="T71" s="14"/>
      <c r="U71" s="14"/>
      <c r="V71" s="14"/>
      <c r="W71" s="14"/>
      <c r="X71" s="14"/>
      <c r="Y71" s="14"/>
      <c r="Z71" s="14"/>
      <c r="AA71" s="14"/>
      <c r="AB71" s="5"/>
      <c r="AC71" s="5"/>
    </row>
    <row r="72" customFormat="false" ht="15.75" hidden="false" customHeight="false" outlineLevel="0" collapsed="false">
      <c r="F72" s="15"/>
      <c r="G72" s="11"/>
      <c r="H72" s="11"/>
      <c r="I72" s="11"/>
      <c r="J72" s="11"/>
      <c r="K72" s="11"/>
      <c r="L72" s="9"/>
      <c r="M72" s="11"/>
      <c r="N72" s="11"/>
      <c r="O72" s="9"/>
      <c r="P72" s="11"/>
      <c r="Q72" s="9"/>
      <c r="R72" s="11"/>
      <c r="S72" s="50"/>
      <c r="T72" s="14"/>
      <c r="U72" s="14"/>
      <c r="V72" s="14"/>
      <c r="W72" s="14"/>
      <c r="X72" s="14"/>
      <c r="Y72" s="14"/>
      <c r="Z72" s="14"/>
      <c r="AA72" s="14"/>
      <c r="AB72" s="5"/>
      <c r="AC72" s="5"/>
    </row>
    <row r="73" customFormat="false" ht="15.75" hidden="false" customHeight="false" outlineLevel="0" collapsed="false">
      <c r="F73" s="19"/>
      <c r="G73" s="11"/>
      <c r="H73" s="11"/>
      <c r="I73" s="11"/>
      <c r="J73" s="11"/>
      <c r="K73" s="11"/>
      <c r="L73" s="9"/>
      <c r="M73" s="11"/>
      <c r="N73" s="11"/>
      <c r="O73" s="9"/>
      <c r="P73" s="11"/>
      <c r="Q73" s="9"/>
      <c r="R73" s="11"/>
      <c r="S73" s="50"/>
      <c r="T73" s="43"/>
      <c r="U73" s="43"/>
      <c r="V73" s="43"/>
      <c r="W73" s="43"/>
      <c r="X73" s="43"/>
      <c r="Y73" s="43"/>
      <c r="Z73" s="43"/>
      <c r="AA73" s="43"/>
      <c r="AB73" s="5"/>
      <c r="AC73" s="5"/>
    </row>
    <row r="74" customFormat="false" ht="15.75" hidden="false" customHeight="false" outlineLevel="0" collapsed="false">
      <c r="F74" s="15"/>
      <c r="G74" s="11"/>
      <c r="H74" s="11"/>
      <c r="I74" s="11"/>
      <c r="J74" s="11"/>
      <c r="K74" s="11"/>
      <c r="L74" s="9"/>
      <c r="M74" s="15"/>
      <c r="N74" s="15"/>
      <c r="O74" s="9"/>
      <c r="P74" s="15"/>
      <c r="Q74" s="9"/>
      <c r="R74" s="15"/>
      <c r="S74" s="50"/>
      <c r="T74" s="14"/>
      <c r="U74" s="13" t="s">
        <v>125</v>
      </c>
      <c r="V74" s="13"/>
      <c r="W74" s="13"/>
      <c r="X74" s="13"/>
      <c r="Y74" s="13" t="s">
        <v>126</v>
      </c>
      <c r="Z74" s="13"/>
      <c r="AA74" s="14"/>
      <c r="AB74" s="5"/>
      <c r="AC74" s="5"/>
    </row>
    <row r="75" customFormat="false" ht="15.75" hidden="false" customHeight="false" outlineLevel="0" collapsed="false">
      <c r="F75" s="19"/>
      <c r="G75" s="11"/>
      <c r="H75" s="11"/>
      <c r="I75" s="11"/>
      <c r="J75" s="11"/>
      <c r="K75" s="15"/>
      <c r="L75" s="9"/>
      <c r="M75" s="15"/>
      <c r="N75" s="15"/>
      <c r="O75" s="9"/>
      <c r="P75" s="15"/>
      <c r="Q75" s="9"/>
      <c r="R75" s="15"/>
      <c r="S75" s="8"/>
      <c r="T75" s="14"/>
      <c r="U75" s="14" t="s">
        <v>127</v>
      </c>
      <c r="V75" s="14" t="s">
        <v>128</v>
      </c>
      <c r="W75" s="14" t="s">
        <v>129</v>
      </c>
      <c r="X75" s="14" t="s">
        <v>130</v>
      </c>
      <c r="Y75" s="14" t="s">
        <v>131</v>
      </c>
      <c r="Z75" s="14" t="s">
        <v>132</v>
      </c>
      <c r="AA75" s="14" t="s">
        <v>133</v>
      </c>
      <c r="AB75" s="5"/>
      <c r="AC75" s="5"/>
    </row>
    <row r="76" customFormat="false" ht="15.75" hidden="false" customHeight="false" outlineLevel="0" collapsed="false">
      <c r="F76" s="15"/>
      <c r="G76" s="19"/>
      <c r="H76" s="19"/>
      <c r="I76" s="19"/>
      <c r="J76" s="19"/>
      <c r="K76" s="19"/>
      <c r="L76" s="9"/>
      <c r="M76" s="19"/>
      <c r="N76" s="19"/>
      <c r="O76" s="9"/>
      <c r="P76" s="19"/>
      <c r="Q76" s="9"/>
      <c r="R76" s="19"/>
      <c r="S76" s="5"/>
      <c r="T76" s="27" t="s">
        <v>14</v>
      </c>
      <c r="U76" s="15" t="e">
        <f aca="false">(#REF!)</f>
        <v>#REF!</v>
      </c>
      <c r="V76" s="15" t="e">
        <f aca="false">(#REF!)</f>
        <v>#REF!</v>
      </c>
      <c r="W76" s="15" t="e">
        <f aca="false">(#REF!)</f>
        <v>#REF!</v>
      </c>
      <c r="X76" s="15" t="n">
        <f aca="false">(B63)</f>
        <v>2.47474177906354</v>
      </c>
      <c r="Y76" s="15" t="e">
        <f aca="false">AVERAGE(G76:K76)</f>
        <v>#DIV/0!</v>
      </c>
      <c r="Z76" s="15" t="e">
        <f aca="false">AVERAGE(M76:R76)</f>
        <v>#DIV/0!</v>
      </c>
      <c r="AA76" s="15" t="n">
        <f aca="false">AVERAGE(B63:D63,G76:R76)</f>
        <v>2.134033559649</v>
      </c>
      <c r="AB76" s="5"/>
      <c r="AC76" s="5"/>
    </row>
    <row r="77" customFormat="false" ht="15.75" hidden="false" customHeight="false" outlineLevel="0" collapsed="false">
      <c r="F77" s="19"/>
      <c r="G77" s="19"/>
      <c r="H77" s="19"/>
      <c r="I77" s="19"/>
      <c r="J77" s="19"/>
      <c r="K77" s="19"/>
      <c r="L77" s="9"/>
      <c r="M77" s="19"/>
      <c r="N77" s="19"/>
      <c r="O77" s="9"/>
      <c r="P77" s="19"/>
      <c r="Q77" s="9"/>
      <c r="R77" s="19"/>
      <c r="S77" s="5"/>
      <c r="T77" s="27" t="s">
        <v>15</v>
      </c>
      <c r="U77" s="14" t="e">
        <f aca="false">AVERAGE(#REF!)</f>
        <v>#REF!</v>
      </c>
      <c r="V77" s="14" t="e">
        <f aca="false">AVERAGE(#REF!)</f>
        <v>#REF!</v>
      </c>
      <c r="W77" s="14" t="e">
        <f aca="false">AVERAGE(#REF!)</f>
        <v>#REF!</v>
      </c>
      <c r="X77" s="14" t="n">
        <f aca="false">(B64)</f>
        <v>1.47251349843544</v>
      </c>
      <c r="Y77" s="14" t="e">
        <f aca="false">AVERAGE(G77:K77)</f>
        <v>#DIV/0!</v>
      </c>
      <c r="Z77" s="14" t="e">
        <f aca="false">AVERAGE(M77:R77)</f>
        <v>#DIV/0!</v>
      </c>
      <c r="AA77" s="14" t="e">
        <f aca="false">AVERAGE(#REF!)</f>
        <v>#REF!</v>
      </c>
      <c r="AB77" s="5"/>
      <c r="AC77" s="5"/>
    </row>
    <row r="78" customFormat="false" ht="15.75" hidden="false" customHeight="false" outlineLevel="0" collapsed="false">
      <c r="F78" s="7"/>
      <c r="G78" s="26"/>
      <c r="H78" s="26"/>
      <c r="I78" s="26"/>
      <c r="J78" s="26"/>
      <c r="K78" s="26"/>
      <c r="L78" s="9"/>
      <c r="M78" s="26"/>
      <c r="N78" s="26"/>
      <c r="O78" s="9"/>
      <c r="P78" s="26"/>
      <c r="Q78" s="9"/>
      <c r="R78" s="26"/>
      <c r="S78" s="5"/>
      <c r="T78" s="27" t="s">
        <v>16</v>
      </c>
      <c r="U78" s="22" t="e">
        <f aca="false">AVERAGE(#REF!)</f>
        <v>#REF!</v>
      </c>
      <c r="V78" s="22" t="e">
        <f aca="false">AVERAGE(#REF!)</f>
        <v>#REF!</v>
      </c>
      <c r="W78" s="22" t="e">
        <f aca="false">AVERAGE(#REF!)</f>
        <v>#REF!</v>
      </c>
      <c r="X78" s="22" t="n">
        <f aca="false">(B65)</f>
        <v>0.595017027995807</v>
      </c>
      <c r="Y78" s="22" t="e">
        <f aca="false">AVERAGE(G78:K78)</f>
        <v>#DIV/0!</v>
      </c>
      <c r="Z78" s="22" t="e">
        <f aca="false">AVERAGE(M78:R78)</f>
        <v>#DIV/0!</v>
      </c>
      <c r="AA78" s="22" t="e">
        <f aca="false">AVERAGE(#REF!)</f>
        <v>#REF!</v>
      </c>
      <c r="AB78" s="5"/>
      <c r="AC78" s="5"/>
    </row>
    <row r="79" customFormat="false" ht="15.7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customFormat="false" ht="15.7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customFormat="false" ht="15.7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customFormat="false" ht="15.7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customFormat="false" ht="15.7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customFormat="false" ht="15.75" hidden="false" customHeight="false" outlineLevel="0" collapsed="false">
      <c r="A84" s="5"/>
      <c r="B84" s="5"/>
      <c r="C84" s="5"/>
      <c r="D84" s="5"/>
      <c r="E84" s="5"/>
      <c r="F84" s="1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customFormat="false" ht="15.75" hidden="false" customHeight="false" outlineLevel="0" collapsed="false">
      <c r="A85" s="5"/>
      <c r="B85" s="5"/>
      <c r="C85" s="5"/>
      <c r="D85" s="5"/>
      <c r="E85" s="5"/>
      <c r="F85" s="1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customFormat="false" ht="15.75" hidden="false" customHeight="false" outlineLevel="0" collapsed="false">
      <c r="A86" s="8"/>
      <c r="B86" s="27"/>
      <c r="C86" s="5"/>
      <c r="D86" s="5"/>
      <c r="E86" s="8"/>
      <c r="F86" s="27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customFormat="false" ht="15.75" hidden="false" customHeight="false" outlineLevel="0" collapsed="false">
      <c r="A87" s="2"/>
      <c r="B87" s="2"/>
      <c r="C87" s="2"/>
      <c r="D87" s="2"/>
      <c r="E87" s="2"/>
      <c r="F87" s="2"/>
      <c r="G87" s="2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customFormat="false" ht="15.75" hidden="false" customHeight="false" outlineLevel="0" collapsed="false">
      <c r="A88" s="2"/>
      <c r="B88" s="2"/>
      <c r="C88" s="2"/>
      <c r="D88" s="2"/>
      <c r="E88" s="2"/>
      <c r="F88" s="2"/>
      <c r="G88" s="2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customFormat="false" ht="15.75" hidden="false" customHeight="false" outlineLevel="0" collapsed="false">
      <c r="A89" s="2"/>
      <c r="B89" s="2"/>
      <c r="C89" s="2"/>
      <c r="D89" s="2"/>
      <c r="E89" s="2"/>
      <c r="F89" s="2"/>
      <c r="G89" s="2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customFormat="false" ht="15.75" hidden="false" customHeight="false" outlineLevel="0" collapsed="false">
      <c r="A90" s="2"/>
      <c r="B90" s="2"/>
      <c r="C90" s="2"/>
      <c r="D90" s="2"/>
      <c r="E90" s="2"/>
      <c r="F90" s="2"/>
      <c r="G90" s="2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customFormat="false" ht="15.75" hidden="false" customHeight="false" outlineLevel="0" collapsed="false">
      <c r="A91" s="2"/>
      <c r="B91" s="2"/>
      <c r="C91" s="2"/>
      <c r="D91" s="2"/>
      <c r="E91" s="2"/>
      <c r="F91" s="2"/>
      <c r="G91" s="2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customFormat="false" ht="15.75" hidden="false" customHeight="false" outlineLevel="0" collapsed="false">
      <c r="A92" s="2"/>
      <c r="B92" s="2"/>
      <c r="C92" s="2"/>
      <c r="D92" s="2"/>
      <c r="E92" s="2"/>
      <c r="F92" s="2"/>
      <c r="G92" s="2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customFormat="false" ht="15.75" hidden="false" customHeight="false" outlineLevel="0" collapsed="false">
      <c r="A93" s="2"/>
      <c r="B93" s="2"/>
      <c r="C93" s="2"/>
      <c r="D93" s="2"/>
      <c r="E93" s="2"/>
      <c r="F93" s="2"/>
      <c r="G93" s="2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customFormat="false" ht="15.75" hidden="false" customHeight="false" outlineLevel="0" collapsed="false">
      <c r="A94" s="2"/>
      <c r="B94" s="2"/>
      <c r="C94" s="2"/>
      <c r="D94" s="2"/>
      <c r="E94" s="2"/>
      <c r="F94" s="2"/>
      <c r="G94" s="2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customFormat="false" ht="15.75" hidden="false" customHeight="false" outlineLevel="0" collapsed="false">
      <c r="A95" s="2"/>
      <c r="B95" s="2"/>
      <c r="C95" s="2"/>
      <c r="D95" s="2"/>
      <c r="E95" s="2"/>
      <c r="F95" s="2"/>
      <c r="G95" s="2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customFormat="false" ht="15.75" hidden="false" customHeight="false" outlineLevel="0" collapsed="false">
      <c r="A96" s="2"/>
      <c r="B96" s="2"/>
      <c r="C96" s="2"/>
      <c r="D96" s="2"/>
      <c r="E96" s="2"/>
      <c r="F96" s="2"/>
      <c r="G96" s="2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customFormat="false" ht="15.7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customFormat="false" ht="15.7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customFormat="false" ht="15.7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customFormat="false" ht="15.7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customFormat="false" ht="15.7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customFormat="false" ht="15.7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customFormat="false" ht="15.7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customFormat="false" ht="15.7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customFormat="false" ht="15.7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customFormat="false" ht="15.7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customFormat="false" ht="15.7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customFormat="false" ht="15.7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customFormat="false" ht="15.7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customFormat="false" ht="15.7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customFormat="false" ht="15.7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customFormat="false" ht="15.7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customFormat="false" ht="15.7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customFormat="false" ht="15.7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customFormat="false" ht="15.7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customFormat="false" ht="15.7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customFormat="false" ht="15.7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customFormat="false" ht="15.7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customFormat="false" ht="15.7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customFormat="false" ht="15.7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customFormat="false" ht="15.7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customFormat="false" ht="15.7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customFormat="false" ht="15.7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customFormat="false" ht="15.7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customFormat="false" ht="15.7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customFormat="false" ht="15.7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customFormat="false" ht="15.7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customFormat="false" ht="15.7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customFormat="false" ht="15.7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customFormat="false" ht="15.7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customFormat="false" ht="15.7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customFormat="false" ht="15.7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customFormat="false" ht="15.7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customFormat="false" ht="15.7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customFormat="false" ht="15.7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customFormat="false" ht="15.7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customFormat="false" ht="15.7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customFormat="false" ht="15.7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customFormat="false" ht="15.7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customFormat="false" ht="15.7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customFormat="false" ht="15.7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customFormat="false" ht="15.7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customFormat="false" ht="15.7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customFormat="false" ht="15.7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customFormat="false" ht="15.7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customFormat="false" ht="15.7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customFormat="false" ht="15.7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customFormat="false" ht="15.7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customFormat="false" ht="15.7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customFormat="false" ht="15.7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customFormat="false" ht="15.7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customFormat="false" ht="15.7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customFormat="false" ht="15.7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customFormat="false" ht="15.7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customFormat="false" ht="15.7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customFormat="false" ht="15.7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customFormat="false" ht="15.7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customFormat="false" ht="15.7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customFormat="false" ht="15.7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customFormat="false" ht="15.7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customFormat="false" ht="15.7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customFormat="false" ht="15.7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customFormat="false" ht="15.7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customFormat="false" ht="15.7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customFormat="false" ht="15.7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customFormat="false" ht="15.7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customFormat="false" ht="15.7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customFormat="false" ht="15.7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customFormat="false" ht="15.7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customFormat="false" ht="15.7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customFormat="false" ht="15.7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customFormat="false" ht="15.7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customFormat="false" ht="15.7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customFormat="false" ht="15.7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customFormat="false" ht="15.7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customFormat="false" ht="15.7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customFormat="false" ht="15.7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customFormat="false" ht="15.7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customFormat="false" ht="15.7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customFormat="false" ht="15.7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customFormat="false" ht="15.7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customFormat="false" ht="15.7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customFormat="false" ht="15.7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customFormat="false" ht="15.7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customFormat="false" ht="15.7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customFormat="false" ht="15.7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customFormat="false" ht="15.7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customFormat="false" ht="15.7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customFormat="false" ht="15.7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customFormat="false" ht="15.7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customFormat="false" ht="15.7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customFormat="false" ht="15.7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customFormat="false" ht="15.7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customFormat="false" ht="15.7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customFormat="false" ht="15.7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customFormat="false" ht="15.7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customFormat="false" ht="15.7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customFormat="false" ht="15.7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customFormat="false" ht="15.7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customFormat="false" ht="15.7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customFormat="false" ht="15.7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customFormat="false" ht="15.7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customFormat="false" ht="15.7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customFormat="false" ht="15.7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customFormat="false" ht="15.7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customFormat="false" ht="15.7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customFormat="false" ht="15.7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customFormat="false" ht="15.7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customFormat="false" ht="15.7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customFormat="false" ht="15.7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customFormat="false" ht="15.7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customFormat="false" ht="15.7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customFormat="false" ht="15.7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customFormat="false" ht="15.7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customFormat="false" ht="15.7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customFormat="false" ht="15.7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customFormat="false" ht="15.7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customFormat="false" ht="15.7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customFormat="false" ht="15.7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customFormat="false" ht="15.7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customFormat="false" ht="15.7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customFormat="false" ht="15.7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customFormat="false" ht="15.7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customFormat="false" ht="15.7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customFormat="false" ht="15.7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customFormat="false" ht="15.7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customFormat="false" ht="15.7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customFormat="false" ht="15.7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customFormat="false" ht="15.7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customFormat="false" ht="15.7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customFormat="false" ht="15.7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customFormat="false" ht="15.7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customFormat="false" ht="15.7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customFormat="false" ht="15.7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customFormat="false" ht="15.7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customFormat="false" ht="15.7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customFormat="false" ht="15.7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customFormat="false" ht="15.7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customFormat="false" ht="15.7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customFormat="false" ht="15.7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customFormat="false" ht="15.7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customFormat="false" ht="15.7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customFormat="false" ht="15.7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customFormat="false" ht="15.7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customFormat="false" ht="15.7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customFormat="false" ht="15.7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customFormat="false" ht="15.7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customFormat="false" ht="15.7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customFormat="false" ht="15.7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customFormat="false" ht="15.7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customFormat="false" ht="15.7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customFormat="false" ht="15.7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customFormat="false" ht="15.7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customFormat="false" ht="15.7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customFormat="false" ht="15.7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customFormat="false" ht="15.7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customFormat="false" ht="15.7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customFormat="false" ht="15.7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customFormat="false" ht="15.7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customFormat="false" ht="15.7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customFormat="false" ht="15.7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customFormat="false" ht="15.7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customFormat="false" ht="15.7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customFormat="false" ht="15.7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customFormat="false" ht="15.7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customFormat="false" ht="15.7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customFormat="false" ht="15.7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customFormat="false" ht="15.7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customFormat="false" ht="15.7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customFormat="false" ht="15.7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customFormat="false" ht="15.7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customFormat="false" ht="15.7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customFormat="false" ht="15.7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customFormat="false" ht="15.7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customFormat="false" ht="15.7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customFormat="false" ht="15.7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customFormat="false" ht="15.7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customFormat="false" ht="15.7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customFormat="false" ht="15.7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customFormat="false" ht="15.7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customFormat="false" ht="15.7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customFormat="false" ht="15.7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customFormat="false" ht="15.7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customFormat="false" ht="15.7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customFormat="false" ht="15.7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customFormat="false" ht="15.7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customFormat="false" ht="15.7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customFormat="false" ht="15.7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customFormat="false" ht="15.7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customFormat="false" ht="15.7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customFormat="false" ht="15.7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customFormat="false" ht="15.7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customFormat="false" ht="15.7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customFormat="false" ht="15.7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customFormat="false" ht="15.7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customFormat="false" ht="15.7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customFormat="false" ht="15.7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customFormat="false" ht="15.7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customFormat="false" ht="15.7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customFormat="false" ht="15.7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customFormat="false" ht="15.7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customFormat="false" ht="15.7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customFormat="false" ht="15.7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customFormat="false" ht="15.7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customFormat="false" ht="15.7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customFormat="false" ht="15.7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customFormat="false" ht="15.7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customFormat="false" ht="15.7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customFormat="false" ht="15.7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customFormat="false" ht="15.7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customFormat="false" ht="15.7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customFormat="false" ht="15.7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customFormat="false" ht="15.7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customFormat="false" ht="15.7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customFormat="false" ht="15.7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customFormat="false" ht="15.7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customFormat="false" ht="15.7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customFormat="false" ht="15.7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customFormat="false" ht="15.7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customFormat="false" ht="15.7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customFormat="false" ht="15.7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customFormat="false" ht="15.7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customFormat="false" ht="15.7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customFormat="false" ht="15.7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customFormat="false" ht="15.7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customFormat="false" ht="15.7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customFormat="false" ht="15.7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customFormat="false" ht="15.7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customFormat="false" ht="15.7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customFormat="false" ht="15.7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customFormat="false" ht="15.7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customFormat="false" ht="15.7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customFormat="false" ht="15.7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customFormat="false" ht="15.7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customFormat="false" ht="15.7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customFormat="false" ht="15.7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customFormat="false" ht="15.7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customFormat="false" ht="15.7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customFormat="false" ht="15.7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customFormat="false" ht="15.7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customFormat="false" ht="15.7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customFormat="false" ht="15.7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customFormat="false" ht="15.7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customFormat="false" ht="15.7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customFormat="false" ht="15.7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customFormat="false" ht="15.7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customFormat="false" ht="15.7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customFormat="false" ht="15.7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customFormat="false" ht="15.7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customFormat="false" ht="15.7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customFormat="false" ht="15.7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customFormat="false" ht="15.7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customFormat="false" ht="15.7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customFormat="false" ht="15.7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customFormat="false" ht="15.7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customFormat="false" ht="15.7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customFormat="false" ht="15.7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customFormat="false" ht="15.7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customFormat="false" ht="15.7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customFormat="false" ht="15.7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customFormat="false" ht="15.7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customFormat="false" ht="15.7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customFormat="false" ht="15.7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customFormat="false" ht="15.7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customFormat="false" ht="15.7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customFormat="false" ht="15.7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customFormat="false" ht="15.7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customFormat="false" ht="15.7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customFormat="false" ht="15.7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customFormat="false" ht="15.7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customFormat="false" ht="15.7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customFormat="false" ht="15.7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customFormat="false" ht="15.7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customFormat="false" ht="15.7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customFormat="false" ht="15.7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customFormat="false" ht="15.7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customFormat="false" ht="15.7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customFormat="false" ht="15.7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customFormat="false" ht="15.7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customFormat="false" ht="15.7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customFormat="false" ht="15.7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customFormat="false" ht="15.7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customFormat="false" ht="15.7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customFormat="false" ht="15.7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customFormat="false" ht="15.7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customFormat="false" ht="15.7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customFormat="false" ht="15.7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customFormat="false" ht="15.7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customFormat="false" ht="15.7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customFormat="false" ht="15.7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customFormat="false" ht="15.7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customFormat="false" ht="15.7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customFormat="false" ht="15.7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customFormat="false" ht="15.7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customFormat="false" ht="15.7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customFormat="false" ht="15.7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customFormat="false" ht="15.7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customFormat="false" ht="15.7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customFormat="false" ht="15.7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customFormat="false" ht="15.7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customFormat="false" ht="15.7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customFormat="false" ht="15.7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customFormat="false" ht="15.7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customFormat="false" ht="15.7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customFormat="false" ht="15.7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customFormat="false" ht="15.7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customFormat="false" ht="15.7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customFormat="false" ht="15.7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customFormat="false" ht="15.7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customFormat="false" ht="15.7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customFormat="false" ht="15.7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customFormat="false" ht="15.7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customFormat="false" ht="15.7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customFormat="false" ht="15.7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customFormat="false" ht="15.7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customFormat="false" ht="15.7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customFormat="false" ht="15.7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customFormat="false" ht="15.7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customFormat="false" ht="15.7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customFormat="false" ht="15.7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customFormat="false" ht="15.7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customFormat="false" ht="15.7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customFormat="false" ht="15.7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customFormat="false" ht="15.7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customFormat="false" ht="15.7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customFormat="false" ht="15.7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customFormat="false" ht="15.7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customFormat="false" ht="15.7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customFormat="false" ht="15.7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customFormat="false" ht="15.7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customFormat="false" ht="15.7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customFormat="false" ht="15.7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customFormat="false" ht="15.7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customFormat="false" ht="15.7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customFormat="false" ht="15.7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customFormat="false" ht="15.7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customFormat="false" ht="15.7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customFormat="false" ht="15.7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customFormat="false" ht="15.7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customFormat="false" ht="15.7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customFormat="false" ht="15.7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customFormat="false" ht="15.7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customFormat="false" ht="15.7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customFormat="false" ht="15.7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customFormat="false" ht="15.7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customFormat="false" ht="15.7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customFormat="false" ht="15.7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customFormat="false" ht="15.7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customFormat="false" ht="15.7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customFormat="false" ht="15.7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customFormat="false" ht="15.7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customFormat="false" ht="15.7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customFormat="false" ht="15.7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customFormat="false" ht="15.7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customFormat="false" ht="15.7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customFormat="false" ht="15.7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customFormat="false" ht="15.7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customFormat="false" ht="15.7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customFormat="false" ht="15.7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customFormat="false" ht="15.7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customFormat="false" ht="15.7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customFormat="false" ht="15.7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customFormat="false" ht="15.7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customFormat="false" ht="15.7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customFormat="false" ht="15.7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customFormat="false" ht="15.7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customFormat="false" ht="15.7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customFormat="false" ht="15.7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customFormat="false" ht="15.7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customFormat="false" ht="15.7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customFormat="false" ht="15.7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customFormat="false" ht="15.7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customFormat="false" ht="15.7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customFormat="false" ht="15.7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customFormat="false" ht="15.7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customFormat="false" ht="15.7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customFormat="false" ht="15.7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customFormat="false" ht="15.7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customFormat="false" ht="15.7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customFormat="false" ht="15.7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customFormat="false" ht="15.7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customFormat="false" ht="15.7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customFormat="false" ht="15.7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customFormat="false" ht="15.7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customFormat="false" ht="15.7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customFormat="false" ht="15.7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customFormat="false" ht="15.7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customFormat="false" ht="15.7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customFormat="false" ht="15.7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customFormat="false" ht="15.7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customFormat="false" ht="15.7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customFormat="false" ht="15.7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customFormat="false" ht="15.7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customFormat="false" ht="15.7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customFormat="false" ht="15.7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customFormat="false" ht="15.7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customFormat="false" ht="15.7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customFormat="false" ht="15.7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customFormat="false" ht="15.7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customFormat="false" ht="15.7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customFormat="false" ht="15.7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customFormat="false" ht="15.7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customFormat="false" ht="15.7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customFormat="false" ht="15.7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customFormat="false" ht="15.7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customFormat="false" ht="15.7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customFormat="false" ht="15.7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customFormat="false" ht="15.7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customFormat="false" ht="15.7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customFormat="false" ht="15.7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customFormat="false" ht="15.7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customFormat="false" ht="15.7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customFormat="false" ht="15.7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customFormat="false" ht="15.7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customFormat="false" ht="15.7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customFormat="false" ht="15.7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customFormat="false" ht="15.7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customFormat="false" ht="15.7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customFormat="false" ht="15.7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customFormat="false" ht="15.7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customFormat="false" ht="15.7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customFormat="false" ht="15.7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customFormat="false" ht="15.7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customFormat="false" ht="15.7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customFormat="false" ht="15.7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customFormat="false" ht="15.7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customFormat="false" ht="15.7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customFormat="false" ht="15.7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customFormat="false" ht="15.7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customFormat="false" ht="15.7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customFormat="false" ht="15.7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customFormat="false" ht="15.7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customFormat="false" ht="15.7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customFormat="false" ht="15.7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customFormat="false" ht="15.7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customFormat="false" ht="15.7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customFormat="false" ht="15.7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customFormat="false" ht="15.7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customFormat="false" ht="15.7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customFormat="false" ht="15.7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customFormat="false" ht="15.7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customFormat="false" ht="15.7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customFormat="false" ht="15.7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customFormat="false" ht="15.7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customFormat="false" ht="15.7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customFormat="false" ht="15.7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customFormat="false" ht="15.7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customFormat="false" ht="15.7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customFormat="false" ht="15.7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customFormat="false" ht="15.7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customFormat="false" ht="15.7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customFormat="false" ht="15.7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customFormat="false" ht="15.7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customFormat="false" ht="15.7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customFormat="false" ht="15.7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customFormat="false" ht="15.7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customFormat="false" ht="15.7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customFormat="false" ht="15.7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customFormat="false" ht="15.7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customFormat="false" ht="15.7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customFormat="false" ht="15.7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customFormat="false" ht="15.7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customFormat="false" ht="15.7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customFormat="false" ht="15.7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customFormat="false" ht="15.7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customFormat="false" ht="15.7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customFormat="false" ht="15.7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customFormat="false" ht="15.7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customFormat="false" ht="15.7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customFormat="false" ht="15.7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customFormat="false" ht="15.7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customFormat="false" ht="15.7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customFormat="false" ht="15.7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customFormat="false" ht="15.7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customFormat="false" ht="15.7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customFormat="false" ht="15.7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customFormat="false" ht="15.7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customFormat="false" ht="15.7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customFormat="false" ht="15.7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customFormat="false" ht="15.7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customFormat="false" ht="15.7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customFormat="false" ht="15.7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customFormat="false" ht="15.7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customFormat="false" ht="15.7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customFormat="false" ht="15.7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customFormat="false" ht="15.7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customFormat="false" ht="15.7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customFormat="false" ht="15.7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customFormat="false" ht="15.7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customFormat="false" ht="15.7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customFormat="false" ht="15.7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customFormat="false" ht="15.7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customFormat="false" ht="15.7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customFormat="false" ht="15.7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customFormat="false" ht="15.7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customFormat="false" ht="15.7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customFormat="false" ht="15.7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customFormat="false" ht="15.7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customFormat="false" ht="15.7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customFormat="false" ht="15.7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customFormat="false" ht="15.7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customFormat="false" ht="15.7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customFormat="false" ht="15.7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customFormat="false" ht="15.7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customFormat="false" ht="15.7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customFormat="false" ht="15.7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customFormat="false" ht="15.7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customFormat="false" ht="15.7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customFormat="false" ht="15.7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customFormat="false" ht="15.7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customFormat="false" ht="15.7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customFormat="false" ht="15.7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customFormat="false" ht="15.7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customFormat="false" ht="15.7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customFormat="false" ht="15.7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customFormat="false" ht="15.7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customFormat="false" ht="15.7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customFormat="false" ht="15.7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customFormat="false" ht="15.7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customFormat="false" ht="15.7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customFormat="false" ht="15.7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customFormat="false" ht="15.7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customFormat="false" ht="15.7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customFormat="false" ht="15.7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customFormat="false" ht="15.7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customFormat="false" ht="15.7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customFormat="false" ht="15.7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customFormat="false" ht="15.7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customFormat="false" ht="15.7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customFormat="false" ht="15.7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customFormat="false" ht="15.7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customFormat="false" ht="15.7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customFormat="false" ht="15.7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customFormat="false" ht="15.7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customFormat="false" ht="15.7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customFormat="false" ht="15.7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customFormat="false" ht="15.7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customFormat="false" ht="15.7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customFormat="false" ht="15.7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customFormat="false" ht="15.7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customFormat="false" ht="15.7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customFormat="false" ht="15.7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customFormat="false" ht="15.7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customFormat="false" ht="15.7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customFormat="false" ht="15.7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customFormat="false" ht="15.7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customFormat="false" ht="15.7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customFormat="false" ht="15.7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customFormat="false" ht="15.7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customFormat="false" ht="15.7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customFormat="false" ht="15.7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customFormat="false" ht="15.7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customFormat="false" ht="15.7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customFormat="false" ht="15.7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customFormat="false" ht="15.7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customFormat="false" ht="15.7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customFormat="false" ht="15.7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customFormat="false" ht="15.7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customFormat="false" ht="15.7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customFormat="false" ht="15.7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customFormat="false" ht="15.7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customFormat="false" ht="15.7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customFormat="false" ht="15.7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customFormat="false" ht="15.7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customFormat="false" ht="15.7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customFormat="false" ht="15.7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customFormat="false" ht="15.7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customFormat="false" ht="15.7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customFormat="false" ht="15.7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customFormat="false" ht="15.7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customFormat="false" ht="15.7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customFormat="false" ht="15.7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customFormat="false" ht="15.7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customFormat="false" ht="15.7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customFormat="false" ht="15.7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customFormat="false" ht="15.7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customFormat="false" ht="15.7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customFormat="false" ht="15.7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customFormat="false" ht="15.7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customFormat="false" ht="15.7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customFormat="false" ht="15.7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customFormat="false" ht="15.7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customFormat="false" ht="15.7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customFormat="false" ht="15.7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customFormat="false" ht="15.7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customFormat="false" ht="15.7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customFormat="false" ht="15.7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customFormat="false" ht="15.7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customFormat="false" ht="15.7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customFormat="false" ht="15.7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customFormat="false" ht="15.7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customFormat="false" ht="15.7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customFormat="false" ht="15.7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customFormat="false" ht="15.7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customFormat="false" ht="15.7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customFormat="false" ht="15.7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customFormat="false" ht="15.7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customFormat="false" ht="15.7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customFormat="false" ht="15.7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customFormat="false" ht="15.7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customFormat="false" ht="15.7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customFormat="false" ht="15.7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customFormat="false" ht="15.7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customFormat="false" ht="15.7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customFormat="false" ht="15.7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customFormat="false" ht="15.7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customFormat="false" ht="15.7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customFormat="false" ht="15.7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customFormat="false" ht="15.7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customFormat="false" ht="15.7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customFormat="false" ht="15.7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customFormat="false" ht="15.7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customFormat="false" ht="15.7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customFormat="false" ht="15.7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customFormat="false" ht="15.7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customFormat="false" ht="15.7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customFormat="false" ht="15.7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customFormat="false" ht="15.7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customFormat="false" ht="15.7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customFormat="false" ht="15.7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customFormat="false" ht="15.7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customFormat="false" ht="15.7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customFormat="false" ht="15.7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customFormat="false" ht="15.7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customFormat="false" ht="15.7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customFormat="false" ht="15.7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customFormat="false" ht="15.7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customFormat="false" ht="15.7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customFormat="false" ht="15.7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customFormat="false" ht="15.7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customFormat="false" ht="15.7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customFormat="false" ht="15.7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customFormat="false" ht="15.7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customFormat="false" ht="15.7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customFormat="false" ht="15.7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customFormat="false" ht="15.7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customFormat="false" ht="15.7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customFormat="false" ht="15.7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customFormat="false" ht="15.7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customFormat="false" ht="15.7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customFormat="false" ht="15.7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customFormat="false" ht="15.7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customFormat="false" ht="15.7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customFormat="false" ht="15.7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customFormat="false" ht="15.7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customFormat="false" ht="15.7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customFormat="false" ht="15.7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customFormat="false" ht="15.7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customFormat="false" ht="15.7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customFormat="false" ht="15.7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customFormat="false" ht="15.7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customFormat="false" ht="15.7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customFormat="false" ht="15.7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customFormat="false" ht="15.7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customFormat="false" ht="15.7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customFormat="false" ht="15.7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customFormat="false" ht="15.7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customFormat="false" ht="15.7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customFormat="false" ht="15.7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customFormat="false" ht="15.7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customFormat="false" ht="15.7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customFormat="false" ht="15.7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customFormat="false" ht="15.7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customFormat="false" ht="15.7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customFormat="false" ht="15.7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customFormat="false" ht="15.7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customFormat="false" ht="15.7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customFormat="false" ht="15.7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customFormat="false" ht="15.7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customFormat="false" ht="15.7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customFormat="false" ht="15.7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customFormat="false" ht="15.7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customFormat="false" ht="15.7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customFormat="false" ht="15.7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customFormat="false" ht="15.7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customFormat="false" ht="15.7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customFormat="false" ht="15.7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customFormat="false" ht="15.7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customFormat="false" ht="15.7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customFormat="false" ht="15.7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customFormat="false" ht="15.7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customFormat="false" ht="15.7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customFormat="false" ht="15.7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customFormat="false" ht="15.7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customFormat="false" ht="15.7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customFormat="false" ht="15.7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customFormat="false" ht="15.7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customFormat="false" ht="15.7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customFormat="false" ht="15.7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customFormat="false" ht="15.7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customFormat="false" ht="15.7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customFormat="false" ht="15.7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customFormat="false" ht="15.7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customFormat="false" ht="15.7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customFormat="false" ht="15.7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customFormat="false" ht="15.7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customFormat="false" ht="15.7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customFormat="false" ht="15.7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customFormat="false" ht="15.7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customFormat="false" ht="15.7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customFormat="false" ht="15.7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customFormat="false" ht="15.7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customFormat="false" ht="15.7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customFormat="false" ht="15.7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customFormat="false" ht="15.7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customFormat="false" ht="15.7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customFormat="false" ht="15.7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customFormat="false" ht="15.7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customFormat="false" ht="15.7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customFormat="false" ht="15.7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customFormat="false" ht="15.7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customFormat="false" ht="15.7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customFormat="false" ht="15.7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customFormat="false" ht="15.7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customFormat="false" ht="15.7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customFormat="false" ht="15.7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customFormat="false" ht="15.7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customFormat="false" ht="15.7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customFormat="false" ht="15.7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customFormat="false" ht="15.7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customFormat="false" ht="15.7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customFormat="false" ht="15.7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customFormat="false" ht="15.7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customFormat="false" ht="15.7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customFormat="false" ht="15.7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customFormat="false" ht="15.7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customFormat="false" ht="15.7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customFormat="false" ht="15.7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customFormat="false" ht="15.7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customFormat="false" ht="15.7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customFormat="false" ht="15.7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customFormat="false" ht="15.7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customFormat="false" ht="15.7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customFormat="false" ht="15.7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customFormat="false" ht="15.7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customFormat="false" ht="15.7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customFormat="false" ht="15.7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customFormat="false" ht="15.7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customFormat="false" ht="15.7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customFormat="false" ht="15.7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customFormat="false" ht="15.7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customFormat="false" ht="15.7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customFormat="false" ht="15.7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customFormat="false" ht="15.7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customFormat="false" ht="15.7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customFormat="false" ht="15.7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customFormat="false" ht="15.7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customFormat="false" ht="15.7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customFormat="false" ht="15.7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customFormat="false" ht="15.7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customFormat="false" ht="15.7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customFormat="false" ht="15.7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customFormat="false" ht="15.7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customFormat="false" ht="15.7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customFormat="false" ht="15.7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customFormat="false" ht="15.7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customFormat="false" ht="15.7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customFormat="false" ht="15.7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customFormat="false" ht="15.7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customFormat="false" ht="15.7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customFormat="false" ht="15.7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customFormat="false" ht="15.7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customFormat="false" ht="15.7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customFormat="false" ht="15.7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customFormat="false" ht="15.7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customFormat="false" ht="15.7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customFormat="false" ht="15.7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customFormat="false" ht="15.7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customFormat="false" ht="15.7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customFormat="false" ht="15.7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customFormat="false" ht="15.7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customFormat="false" ht="15.7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customFormat="false" ht="15.7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customFormat="false" ht="15.7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customFormat="false" ht="15.7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customFormat="false" ht="15.7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customFormat="false" ht="15.7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customFormat="false" ht="15.7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customFormat="false" ht="15.7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customFormat="false" ht="15.7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customFormat="false" ht="15.7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customFormat="false" ht="15.7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customFormat="false" ht="15.7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customFormat="false" ht="15.7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customFormat="false" ht="15.7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customFormat="false" ht="15.7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customFormat="false" ht="15.7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customFormat="false" ht="15.7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customFormat="false" ht="15.7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customFormat="false" ht="15.7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customFormat="false" ht="15.7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customFormat="false" ht="15.7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customFormat="false" ht="15.7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customFormat="false" ht="15.7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customFormat="false" ht="15.7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customFormat="false" ht="15.7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customFormat="false" ht="15.7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customFormat="false" ht="15.7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customFormat="false" ht="15.7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customFormat="false" ht="15.7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customFormat="false" ht="15.7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customFormat="false" ht="15.7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customFormat="false" ht="15.7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customFormat="false" ht="15.7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customFormat="false" ht="15.7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customFormat="false" ht="15.7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customFormat="false" ht="15.7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customFormat="false" ht="15.7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customFormat="false" ht="15.7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customFormat="false" ht="15.7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customFormat="false" ht="15.7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customFormat="false" ht="15.7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customFormat="false" ht="15.7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customFormat="false" ht="15.7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customFormat="false" ht="15.7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customFormat="false" ht="15.7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customFormat="false" ht="15.7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customFormat="false" ht="15.7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customFormat="false" ht="15.7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customFormat="false" ht="15.7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customFormat="false" ht="15.7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customFormat="false" ht="15.7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customFormat="false" ht="15.7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customFormat="false" ht="15.7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customFormat="false" ht="15.7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customFormat="false" ht="15.7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customFormat="false" ht="15.7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customFormat="false" ht="15.7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customFormat="false" ht="15.7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customFormat="false" ht="15.7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customFormat="false" ht="15.7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customFormat="false" ht="15.7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customFormat="false" ht="15.7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customFormat="false" ht="15.7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customFormat="false" ht="15.7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customFormat="false" ht="15.7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customFormat="false" ht="15.7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customFormat="false" ht="15.7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customFormat="false" ht="15.7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customFormat="false" ht="15.7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customFormat="false" ht="15.7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customFormat="false" ht="15.7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customFormat="false" ht="15.7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customFormat="false" ht="15.7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customFormat="false" ht="15.7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customFormat="false" ht="15.7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customFormat="false" ht="15.7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customFormat="false" ht="15.7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customFormat="false" ht="15.7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customFormat="false" ht="15.7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customFormat="false" ht="15.7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customFormat="false" ht="15.7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customFormat="false" ht="15.7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customFormat="false" ht="15.7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customFormat="false" ht="15.7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customFormat="false" ht="15.7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customFormat="false" ht="15.7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customFormat="false" ht="15.7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customFormat="false" ht="15.7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customFormat="false" ht="15.7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customFormat="false" ht="15.7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customFormat="false" ht="15.7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customFormat="false" ht="15.7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customFormat="false" ht="15.7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customFormat="false" ht="15.7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customFormat="false" ht="15.7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customFormat="false" ht="15.7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customFormat="false" ht="15.7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customFormat="false" ht="15.7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customFormat="false" ht="15.7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customFormat="false" ht="15.7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customFormat="false" ht="15.7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customFormat="false" ht="15.7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customFormat="false" ht="15.7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customFormat="false" ht="15.7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customFormat="false" ht="15.7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customFormat="false" ht="15.7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customFormat="false" ht="15.7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customFormat="false" ht="15.7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customFormat="false" ht="15.7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customFormat="false" ht="15.7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customFormat="false" ht="15.7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customFormat="false" ht="15.7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customFormat="false" ht="15.7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customFormat="false" ht="15.7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customFormat="false" ht="15.7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customFormat="false" ht="15.7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customFormat="false" ht="15.7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customFormat="false" ht="15.7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customFormat="false" ht="15.7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customFormat="false" ht="15.7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customFormat="false" ht="15.7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customFormat="false" ht="15.7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customFormat="false" ht="15.7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customFormat="false" ht="15.7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customFormat="false" ht="15.7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customFormat="false" ht="15.7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customFormat="false" ht="15.7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customFormat="false" ht="15.7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 customFormat="false" ht="15.7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 customFormat="false" ht="15.7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</sheetData>
  <mergeCells count="30">
    <mergeCell ref="A1:K1"/>
    <mergeCell ref="A2:K2"/>
    <mergeCell ref="B3:B4"/>
    <mergeCell ref="C3:C4"/>
    <mergeCell ref="U8:X8"/>
    <mergeCell ref="Y8:Z8"/>
    <mergeCell ref="A15:K15"/>
    <mergeCell ref="B16:B17"/>
    <mergeCell ref="C16:C17"/>
    <mergeCell ref="U21:X21"/>
    <mergeCell ref="Y21:Z21"/>
    <mergeCell ref="A28:K28"/>
    <mergeCell ref="B29:B30"/>
    <mergeCell ref="C29:C30"/>
    <mergeCell ref="U34:X34"/>
    <mergeCell ref="Y34:Z34"/>
    <mergeCell ref="A41:K41"/>
    <mergeCell ref="B42:B43"/>
    <mergeCell ref="C42:C43"/>
    <mergeCell ref="U47:X47"/>
    <mergeCell ref="Y47:Z47"/>
    <mergeCell ref="A54:K54"/>
    <mergeCell ref="B55:B56"/>
    <mergeCell ref="C55:C56"/>
    <mergeCell ref="U60:X60"/>
    <mergeCell ref="Y60:Z60"/>
    <mergeCell ref="G68:L68"/>
    <mergeCell ref="M68:R68"/>
    <mergeCell ref="U74:X74"/>
    <mergeCell ref="Y74:Z7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2026-08-24T17:12:41Z</dcterms:modified>
  <cp:revision>2</cp:revision>
  <dc:subject/>
  <dc:title/>
</cp:coreProperties>
</file>