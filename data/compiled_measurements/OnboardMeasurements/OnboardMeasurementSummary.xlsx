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board Measur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abnormally high change, although sensitivity is 5ohms. double check sensitivity readings
</t>
        </r>
      </text>
    </comment>
    <comment ref="I19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very small resistance change for no reason
</t>
        </r>
      </text>
    </comment>
    <comment ref="L17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abnormally high change, for a low sensitivity sensor
</t>
        </r>
      </text>
    </comment>
    <comment ref="L19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abnormally high change, for a low sensitivity sensor
</t>
        </r>
      </text>
    </comment>
  </commentList>
</comments>
</file>

<file path=xl/sharedStrings.xml><?xml version="1.0" encoding="utf-8"?>
<sst xmlns="http://schemas.openxmlformats.org/spreadsheetml/2006/main" count="209" uniqueCount="35">
  <si>
    <t xml:space="preserve">Sensitivity ((MaxResistance -MinResistance) / (MaxMagneticField - MinMagneticfield)) Ohms/Gauss</t>
  </si>
  <si>
    <t xml:space="preserve">Block 3</t>
  </si>
  <si>
    <t xml:space="preserve">Block 4</t>
  </si>
  <si>
    <t xml:space="preserve">Block 5</t>
  </si>
  <si>
    <t xml:space="preserve">Block 6</t>
  </si>
  <si>
    <t xml:space="preserve">Block 1</t>
  </si>
  <si>
    <t xml:space="preserve">Block 2</t>
  </si>
  <si>
    <t xml:space="preserve">Sensor A</t>
  </si>
  <si>
    <t xml:space="preserve">Sensor B</t>
  </si>
  <si>
    <t xml:space="preserve">Sensor C</t>
  </si>
  <si>
    <t xml:space="preserve">Sensor D</t>
  </si>
  <si>
    <t xml:space="preserve">Sensor E</t>
  </si>
  <si>
    <t xml:space="preserve">Sensor F</t>
  </si>
  <si>
    <t xml:space="preserve">Hsin Ting's Board (Averaged)</t>
  </si>
  <si>
    <t xml:space="preserve">Peters Board (Averaged)</t>
  </si>
  <si>
    <t xml:space="preserve">B3</t>
  </si>
  <si>
    <t xml:space="preserve">B4</t>
  </si>
  <si>
    <t xml:space="preserve">B5</t>
  </si>
  <si>
    <t xml:space="preserve">B6</t>
  </si>
  <si>
    <t xml:space="preserve">B1</t>
  </si>
  <si>
    <t xml:space="preserve">B2</t>
  </si>
  <si>
    <t xml:space="preserve">Global</t>
  </si>
  <si>
    <t xml:space="preserve">Average</t>
  </si>
  <si>
    <t xml:space="preserve">STD Dev</t>
  </si>
  <si>
    <t xml:space="preserve">Relative Standard deviation</t>
  </si>
  <si>
    <t xml:space="preserve">Peak - Peak Resistance Change (Max - Min Resistance)</t>
  </si>
  <si>
    <t xml:space="preserve">67,94</t>
  </si>
  <si>
    <t xml:space="preserve">79,91</t>
  </si>
  <si>
    <t xml:space="preserve">9,58</t>
  </si>
  <si>
    <t xml:space="preserve">Detected Magnetic Field (Peak - Peak Resistance / Sensitivity)</t>
  </si>
  <si>
    <t xml:space="preserve">Gauss/Amps correlation</t>
  </si>
  <si>
    <t xml:space="preserve">O</t>
  </si>
  <si>
    <t xml:space="preserve">RMSE of Resistance to ideal line</t>
  </si>
  <si>
    <t xml:space="preserve">RMSE of Gauss to ideal line</t>
  </si>
  <si>
    <t xml:space="preserve">Highest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</si>
</sst>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##0.000\Ω"/>
    <numFmt numFmtId="167" formatCode="###0.000"/>
    <numFmt numFmtId="168" formatCode="General"/>
    <numFmt numFmtId="169" formatCode="0.00%"/>
    <numFmt numFmtId="170" formatCode="###0.0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>
        <color rgb="FF999999"/>
      </left>
      <right/>
      <top style="medium">
        <color rgb="FF999999"/>
      </top>
      <bottom/>
      <diagonal/>
    </border>
    <border diagonalUp="false" diagonalDown="false">
      <left/>
      <right/>
      <top style="medium">
        <color rgb="FF999999"/>
      </top>
      <bottom/>
      <diagonal/>
    </border>
    <border diagonalUp="false" diagonalDown="false">
      <left/>
      <right style="medium">
        <color rgb="FF999999"/>
      </right>
      <top style="medium">
        <color rgb="FF999999"/>
      </top>
      <bottom/>
      <diagonal/>
    </border>
    <border diagonalUp="false" diagonalDown="false"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 style="medium">
        <color rgb="FF999999"/>
      </left>
      <right/>
      <top/>
      <bottom style="medium">
        <color rgb="FF999999"/>
      </bottom>
      <diagonal/>
    </border>
    <border diagonalUp="false" diagonalDown="false">
      <left/>
      <right/>
      <top/>
      <bottom style="medium">
        <color rgb="FF999999"/>
      </bottom>
      <diagonal/>
    </border>
    <border diagonalUp="false" diagonalDown="false">
      <left/>
      <right style="medium">
        <color rgb="FF999999"/>
      </right>
      <top/>
      <bottom style="medium">
        <color rgb="FF999999"/>
      </bottom>
      <diagonal/>
    </border>
    <border diagonalUp="false" diagonalDown="false"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 diagonalUp="false" diagonalDown="false">
      <left/>
      <right/>
      <top style="medium">
        <color rgb="FF999999"/>
      </top>
      <bottom style="medium">
        <color rgb="FF999999"/>
      </bottom>
      <diagonal/>
    </border>
    <border diagonalUp="false" diagonalDown="false"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8" activeCellId="0" sqref="K18"/>
    </sheetView>
  </sheetViews>
  <sheetFormatPr defaultColWidth="12.6328125" defaultRowHeight="15.75" zeroHeight="false" outlineLevelRow="0" outlineLevelCol="0"/>
  <cols>
    <col collapsed="false" customWidth="true" hidden="false" outlineLevel="0" max="5" min="2" style="0" width="13.75"/>
    <col collapsed="false" customWidth="true" hidden="false" outlineLevel="0" max="18" min="7" style="0" width="14.7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5.75" hidden="false" customHeight="false" outlineLevel="0" collapsed="false">
      <c r="A2" s="2"/>
      <c r="B2" s="3" t="s">
        <v>1</v>
      </c>
      <c r="C2" s="3" t="s">
        <v>2</v>
      </c>
      <c r="D2" s="3" t="s">
        <v>3</v>
      </c>
      <c r="E2" s="3" t="s">
        <v>4</v>
      </c>
      <c r="F2" s="4"/>
      <c r="G2" s="5" t="s">
        <v>5</v>
      </c>
      <c r="H2" s="5"/>
      <c r="I2" s="5"/>
      <c r="J2" s="5"/>
      <c r="K2" s="5"/>
      <c r="L2" s="5"/>
      <c r="M2" s="5" t="s">
        <v>6</v>
      </c>
      <c r="N2" s="5"/>
      <c r="O2" s="5"/>
      <c r="P2" s="5"/>
      <c r="Q2" s="5"/>
      <c r="R2" s="5"/>
      <c r="S2" s="2"/>
      <c r="T2" s="6"/>
      <c r="U2" s="6"/>
      <c r="V2" s="6"/>
      <c r="W2" s="6"/>
      <c r="X2" s="6"/>
      <c r="Y2" s="6"/>
      <c r="Z2" s="6"/>
      <c r="AA2" s="6"/>
      <c r="AB2" s="6"/>
      <c r="AC2" s="6"/>
    </row>
    <row r="3" customFormat="false" ht="15.75" hidden="false" customHeight="false" outlineLevel="0" collapsed="false">
      <c r="A3" s="2"/>
      <c r="B3" s="3"/>
      <c r="C3" s="3"/>
      <c r="D3" s="3"/>
      <c r="E3" s="3"/>
      <c r="F3" s="2"/>
      <c r="G3" s="4" t="s">
        <v>7</v>
      </c>
      <c r="H3" s="4" t="s">
        <v>8</v>
      </c>
      <c r="I3" s="7" t="s">
        <v>9</v>
      </c>
      <c r="J3" s="7" t="s">
        <v>10</v>
      </c>
      <c r="K3" s="7" t="s">
        <v>11</v>
      </c>
      <c r="L3" s="4" t="s">
        <v>12</v>
      </c>
      <c r="M3" s="4" t="s">
        <v>7</v>
      </c>
      <c r="N3" s="4" t="s">
        <v>8</v>
      </c>
      <c r="O3" s="7" t="s">
        <v>9</v>
      </c>
      <c r="P3" s="7" t="s">
        <v>10</v>
      </c>
      <c r="Q3" s="7" t="s">
        <v>11</v>
      </c>
      <c r="R3" s="4" t="s">
        <v>12</v>
      </c>
      <c r="T3" s="2"/>
      <c r="U3" s="2"/>
      <c r="V3" s="6"/>
      <c r="W3" s="2"/>
      <c r="X3" s="6"/>
      <c r="Y3" s="6"/>
      <c r="Z3" s="6"/>
      <c r="AA3" s="6"/>
      <c r="AB3" s="6"/>
      <c r="AC3" s="6"/>
    </row>
    <row r="4" customFormat="false" ht="15.75" hidden="false" customHeight="false" outlineLevel="0" collapsed="false">
      <c r="A4" s="2"/>
      <c r="B4" s="8" t="n">
        <v>6.245</v>
      </c>
      <c r="C4" s="8" t="n">
        <v>13.56</v>
      </c>
      <c r="D4" s="8" t="n">
        <v>70.42</v>
      </c>
      <c r="E4" s="8" t="n">
        <v>81.63</v>
      </c>
      <c r="F4" s="8"/>
      <c r="G4" s="9" t="n">
        <v>5.6472</v>
      </c>
      <c r="H4" s="9" t="n">
        <v>9.021</v>
      </c>
      <c r="I4" s="9" t="n">
        <v>18.0508</v>
      </c>
      <c r="J4" s="9" t="n">
        <v>28.0771</v>
      </c>
      <c r="K4" s="9" t="n">
        <v>52.2981</v>
      </c>
      <c r="L4" s="9" t="n">
        <v>3.827</v>
      </c>
      <c r="M4" s="9" t="n">
        <v>73.5774</v>
      </c>
      <c r="N4" s="9" t="n">
        <v>50.3168</v>
      </c>
      <c r="O4" s="9" t="n">
        <v>54.1951</v>
      </c>
      <c r="P4" s="9" t="n">
        <v>75.3452</v>
      </c>
      <c r="Q4" s="9" t="n">
        <v>85.2732</v>
      </c>
      <c r="R4" s="9" t="n">
        <v>20.5066</v>
      </c>
      <c r="T4" s="2"/>
      <c r="U4" s="2"/>
      <c r="V4" s="6"/>
      <c r="W4" s="2"/>
      <c r="X4" s="6"/>
      <c r="Y4" s="6"/>
      <c r="Z4" s="6"/>
      <c r="AA4" s="6"/>
      <c r="AB4" s="6"/>
      <c r="AC4" s="6"/>
    </row>
    <row r="5" customFormat="false" ht="15.75" hidden="false" customHeight="false" outlineLevel="0" collapsed="false">
      <c r="A5" s="2"/>
      <c r="B5" s="8" t="n">
        <v>6.4283</v>
      </c>
      <c r="C5" s="8" t="n">
        <v>17.172</v>
      </c>
      <c r="D5" s="8" t="n">
        <v>89.195</v>
      </c>
      <c r="E5" s="8" t="n">
        <v>103.142</v>
      </c>
      <c r="F5" s="8"/>
      <c r="G5" s="9" t="n">
        <v>21.4949</v>
      </c>
      <c r="H5" s="9" t="n">
        <v>29.0236</v>
      </c>
      <c r="I5" s="9" t="n">
        <v>17.0139</v>
      </c>
      <c r="J5" s="9" t="n">
        <v>36.5104</v>
      </c>
      <c r="K5" s="9" t="n">
        <v>51.5893</v>
      </c>
      <c r="L5" s="9" t="n">
        <v>2.9313</v>
      </c>
      <c r="M5" s="9" t="n">
        <v>25.1453</v>
      </c>
      <c r="N5" s="9" t="n">
        <v>37.9595</v>
      </c>
      <c r="O5" s="9" t="n">
        <v>59.5506</v>
      </c>
      <c r="P5" s="9" t="n">
        <v>72.5784</v>
      </c>
      <c r="Q5" s="9" t="n">
        <v>95.3564</v>
      </c>
      <c r="R5" s="9" t="n">
        <v>79.0322</v>
      </c>
      <c r="T5" s="2"/>
      <c r="U5" s="2"/>
      <c r="V5" s="6"/>
      <c r="W5" s="2"/>
      <c r="X5" s="6"/>
      <c r="Y5" s="6"/>
      <c r="Z5" s="6"/>
      <c r="AA5" s="6"/>
      <c r="AB5" s="6"/>
      <c r="AC5" s="6"/>
    </row>
    <row r="6" customFormat="false" ht="15.75" hidden="false" customHeight="false" outlineLevel="0" collapsed="false">
      <c r="A6" s="2"/>
      <c r="B6" s="8" t="n">
        <v>12.1142</v>
      </c>
      <c r="C6" s="8" t="n">
        <v>20.117</v>
      </c>
      <c r="D6" s="8" t="n">
        <v>76.68</v>
      </c>
      <c r="E6" s="8" t="n">
        <v>101.093</v>
      </c>
      <c r="F6" s="8"/>
      <c r="G6" s="9" t="n">
        <v>125.2401</v>
      </c>
      <c r="H6" s="9" t="n">
        <v>26.705</v>
      </c>
      <c r="I6" s="9" t="n">
        <v>113.029</v>
      </c>
      <c r="J6" s="9" t="n">
        <v>68.1049</v>
      </c>
      <c r="K6" s="9" t="n">
        <v>83.4682</v>
      </c>
      <c r="L6" s="9" t="n">
        <v>22.1725</v>
      </c>
      <c r="M6" s="9" t="n">
        <v>7.4143</v>
      </c>
      <c r="N6" s="9" t="n">
        <v>13.49</v>
      </c>
      <c r="O6" s="9" t="n">
        <v>24.9032</v>
      </c>
      <c r="P6" s="9" t="n">
        <v>35.8134</v>
      </c>
      <c r="Q6" s="9" t="n">
        <v>62.92</v>
      </c>
      <c r="R6" s="9" t="n">
        <v>74.755</v>
      </c>
      <c r="T6" s="2"/>
      <c r="U6" s="2"/>
      <c r="V6" s="6"/>
      <c r="W6" s="2"/>
      <c r="X6" s="6"/>
      <c r="Y6" s="6"/>
      <c r="Z6" s="6"/>
      <c r="AA6" s="6"/>
      <c r="AB6" s="6"/>
      <c r="AC6" s="6"/>
    </row>
    <row r="7" customFormat="false" ht="15.75" hidden="false" customHeight="false" outlineLevel="0" collapsed="false">
      <c r="A7" s="2"/>
      <c r="B7" s="8" t="n">
        <v>11.0075</v>
      </c>
      <c r="C7" s="8" t="n">
        <v>28.74</v>
      </c>
      <c r="D7" s="8" t="n">
        <v>88.266</v>
      </c>
      <c r="E7" s="8" t="n">
        <v>105.816</v>
      </c>
      <c r="F7" s="8"/>
      <c r="G7" s="9" t="n">
        <v>12.4272</v>
      </c>
      <c r="H7" s="9" t="n">
        <v>31.6242</v>
      </c>
      <c r="I7" s="9" t="n">
        <v>146.4614</v>
      </c>
      <c r="J7" s="9" t="n">
        <v>97.8657</v>
      </c>
      <c r="K7" s="9" t="n">
        <v>78.6398</v>
      </c>
      <c r="L7" s="9" t="n">
        <v>10.2466</v>
      </c>
      <c r="M7" s="9" t="n">
        <v>6.3567</v>
      </c>
      <c r="N7" s="9" t="n">
        <v>12.3365</v>
      </c>
      <c r="O7" s="9" t="n">
        <v>21.9892</v>
      </c>
      <c r="P7" s="9" t="n">
        <v>36.0976</v>
      </c>
      <c r="Q7" s="9" t="n">
        <v>58.316</v>
      </c>
      <c r="R7" s="9" t="n">
        <v>61.4613</v>
      </c>
      <c r="T7" s="2"/>
      <c r="U7" s="2"/>
      <c r="V7" s="6"/>
      <c r="W7" s="2"/>
      <c r="X7" s="6"/>
      <c r="Y7" s="6"/>
      <c r="Z7" s="6"/>
      <c r="AA7" s="6"/>
      <c r="AB7" s="6"/>
      <c r="AC7" s="6"/>
    </row>
    <row r="8" customFormat="false" ht="15.75" hidden="false" customHeight="false" outlineLevel="0" collapsed="false">
      <c r="A8" s="2"/>
      <c r="B8" s="8"/>
      <c r="C8" s="8"/>
      <c r="D8" s="8" t="n">
        <v>31.5426</v>
      </c>
      <c r="E8" s="8" t="n">
        <v>62.1887</v>
      </c>
      <c r="F8" s="8"/>
      <c r="G8" s="9" t="n">
        <v>58.6295</v>
      </c>
      <c r="H8" s="9" t="n">
        <v>72.6389</v>
      </c>
      <c r="I8" s="9" t="n">
        <v>83.0578</v>
      </c>
      <c r="J8" s="9" t="n">
        <v>99.2757</v>
      </c>
      <c r="K8" s="9" t="n">
        <v>88.3755</v>
      </c>
      <c r="L8" s="9" t="n">
        <v>47.3522</v>
      </c>
      <c r="M8" s="8"/>
      <c r="N8" s="8"/>
      <c r="O8" s="8"/>
      <c r="P8" s="8"/>
      <c r="Q8" s="8"/>
      <c r="R8" s="8"/>
      <c r="S8" s="2"/>
      <c r="T8" s="10"/>
      <c r="U8" s="11" t="s">
        <v>13</v>
      </c>
      <c r="V8" s="11"/>
      <c r="W8" s="11"/>
      <c r="X8" s="11"/>
      <c r="Y8" s="11" t="s">
        <v>14</v>
      </c>
      <c r="Z8" s="11"/>
      <c r="AA8" s="10"/>
      <c r="AB8" s="6"/>
      <c r="AC8" s="6"/>
    </row>
    <row r="9" customFormat="false" ht="15.75" hidden="false" customHeight="false" outlineLevel="0" collapsed="false">
      <c r="A9" s="2"/>
      <c r="B9" s="8"/>
      <c r="C9" s="8"/>
      <c r="D9" s="8" t="n">
        <v>40.4081</v>
      </c>
      <c r="E9" s="8" t="n">
        <v>66.713</v>
      </c>
      <c r="F9" s="8"/>
      <c r="G9" s="9" t="n">
        <v>49.5769</v>
      </c>
      <c r="H9" s="9" t="n">
        <v>76.6381</v>
      </c>
      <c r="I9" s="9" t="n">
        <v>84.7505</v>
      </c>
      <c r="J9" s="9" t="n">
        <v>83.1343</v>
      </c>
      <c r="K9" s="8"/>
      <c r="L9" s="9" t="n">
        <v>51.7849</v>
      </c>
      <c r="M9" s="8"/>
      <c r="N9" s="8"/>
      <c r="O9" s="8"/>
      <c r="P9" s="8"/>
      <c r="Q9" s="8"/>
      <c r="R9" s="8"/>
      <c r="T9" s="10"/>
      <c r="U9" s="11" t="s">
        <v>15</v>
      </c>
      <c r="V9" s="11" t="s">
        <v>16</v>
      </c>
      <c r="W9" s="11" t="s">
        <v>17</v>
      </c>
      <c r="X9" s="11" t="s">
        <v>18</v>
      </c>
      <c r="Y9" s="11" t="s">
        <v>19</v>
      </c>
      <c r="Z9" s="12" t="s">
        <v>20</v>
      </c>
      <c r="AA9" s="11" t="s">
        <v>21</v>
      </c>
      <c r="AB9" s="6"/>
      <c r="AC9" s="6"/>
    </row>
    <row r="10" customFormat="false" ht="15.75" hidden="false" customHeight="false" outlineLevel="0" collapsed="false">
      <c r="A10" s="13" t="s">
        <v>22</v>
      </c>
      <c r="B10" s="14" t="n">
        <f aca="false">AVERAGE(B4:B9)</f>
        <v>8.94875</v>
      </c>
      <c r="C10" s="14" t="n">
        <f aca="false">AVERAGE(C4:C9)</f>
        <v>19.89725</v>
      </c>
      <c r="D10" s="14" t="n">
        <f aca="false">AVERAGE(D4:D9)</f>
        <v>66.0852833333333</v>
      </c>
      <c r="E10" s="14" t="n">
        <f aca="false">AVERAGE(E4:E9)</f>
        <v>86.7637833333333</v>
      </c>
      <c r="F10" s="14"/>
      <c r="G10" s="14" t="n">
        <f aca="false">AVERAGE(G4:G9)</f>
        <v>45.5026333333333</v>
      </c>
      <c r="H10" s="14" t="n">
        <f aca="false">AVERAGE(H4:H9)</f>
        <v>40.9418</v>
      </c>
      <c r="I10" s="14" t="n">
        <f aca="false">AVERAGE(I4:I9)</f>
        <v>77.0605666666667</v>
      </c>
      <c r="J10" s="14" t="n">
        <f aca="false">AVERAGE(J4:J9)</f>
        <v>68.8280166666667</v>
      </c>
      <c r="K10" s="14" t="n">
        <f aca="false">AVERAGE(K4:K9)</f>
        <v>70.87418</v>
      </c>
      <c r="L10" s="14" t="n">
        <f aca="false">AVERAGE(L4:L9)</f>
        <v>23.0524166666667</v>
      </c>
      <c r="M10" s="14" t="n">
        <f aca="false">AVERAGE(M4:M9)</f>
        <v>28.123425</v>
      </c>
      <c r="N10" s="14" t="n">
        <f aca="false">AVERAGE(N4:N9)</f>
        <v>28.5257</v>
      </c>
      <c r="O10" s="14" t="n">
        <f aca="false">AVERAGE(O4:O9)</f>
        <v>40.159525</v>
      </c>
      <c r="P10" s="14" t="n">
        <f aca="false">AVERAGE(P4:P9)</f>
        <v>54.95865</v>
      </c>
      <c r="Q10" s="14" t="n">
        <f aca="false">AVERAGE(Q4:Q9)</f>
        <v>75.4664</v>
      </c>
      <c r="R10" s="15" t="n">
        <f aca="false">AVERAGE(R4:R9)</f>
        <v>58.938775</v>
      </c>
      <c r="T10" s="13" t="s">
        <v>22</v>
      </c>
      <c r="U10" s="16" t="n">
        <f aca="false">(B10)</f>
        <v>8.94875</v>
      </c>
      <c r="V10" s="16" t="n">
        <f aca="false">(C10)</f>
        <v>19.89725</v>
      </c>
      <c r="W10" s="16" t="n">
        <f aca="false">(D10)</f>
        <v>66.0852833333333</v>
      </c>
      <c r="X10" s="16" t="n">
        <f aca="false">(E10)</f>
        <v>86.7637833333333</v>
      </c>
      <c r="Y10" s="16" t="n">
        <f aca="false">AVERAGE(G10:L10)</f>
        <v>54.3766022222222</v>
      </c>
      <c r="Z10" s="16" t="n">
        <f aca="false">AVERAGE(M10:R10)</f>
        <v>47.6954125</v>
      </c>
      <c r="AA10" s="16" t="n">
        <f aca="false">AVERAGE(B10:E10,G10:R10)</f>
        <v>49.6329471875</v>
      </c>
      <c r="AB10" s="6"/>
      <c r="AC10" s="6"/>
    </row>
    <row r="11" customFormat="false" ht="15.75" hidden="false" customHeight="false" outlineLevel="0" collapsed="false">
      <c r="A11" s="17" t="s">
        <v>23</v>
      </c>
      <c r="B11" s="18" t="n">
        <f aca="false">STDEV(B4:B7)</f>
        <v>3.05076261121707</v>
      </c>
      <c r="C11" s="18" t="n">
        <f aca="false">STDEV(C4:C7)</f>
        <v>6.47637354157402</v>
      </c>
      <c r="D11" s="18" t="n">
        <f aca="false">STDEV(D4:D7)</f>
        <v>9.13733915955113</v>
      </c>
      <c r="E11" s="18" t="n">
        <f aca="false">STDEV(E4:E7)</f>
        <v>11.0309886040796</v>
      </c>
      <c r="F11" s="18"/>
      <c r="G11" s="18" t="n">
        <f aca="false">STDEV(G4:G9)</f>
        <v>44.2849612937695</v>
      </c>
      <c r="H11" s="18" t="n">
        <f aca="false">STDEV(H4:H9)</f>
        <v>27.3108662988928</v>
      </c>
      <c r="I11" s="18" t="n">
        <f aca="false">STDEV(I4:I9)</f>
        <v>51.5617309367584</v>
      </c>
      <c r="J11" s="18" t="n">
        <f aca="false">STDEV(J4:J9)</f>
        <v>30.5957731409041</v>
      </c>
      <c r="K11" s="18" t="n">
        <f aca="false">STDEV(K4:K9)</f>
        <v>17.6223419291251</v>
      </c>
      <c r="L11" s="18" t="n">
        <f aca="false">STDEV(L4:L9)</f>
        <v>21.7037980284942</v>
      </c>
      <c r="M11" s="18" t="n">
        <f aca="false">STDEV(M4:M7)</f>
        <v>31.5044507295266</v>
      </c>
      <c r="N11" s="18" t="n">
        <f aca="false">STDEV(N4:N7)</f>
        <v>18.7261946016803</v>
      </c>
      <c r="O11" s="18" t="n">
        <f aca="false">STDEV(O4:O7)</f>
        <v>19.4587368410482</v>
      </c>
      <c r="P11" s="18" t="n">
        <f aca="false">STDEV(P4:P7)</f>
        <v>21.9723069311501</v>
      </c>
      <c r="Q11" s="18" t="n">
        <f aca="false">STDEV(Q4:Q7)</f>
        <v>17.7325858178289</v>
      </c>
      <c r="R11" s="19" t="n">
        <f aca="false">STDEV(R4:R7)</f>
        <v>26.6914087868956</v>
      </c>
      <c r="T11" s="20" t="s">
        <v>23</v>
      </c>
      <c r="U11" s="21" t="n">
        <f aca="false">AVERAGE(B11)</f>
        <v>3.05076261121707</v>
      </c>
      <c r="V11" s="21" t="n">
        <f aca="false">AVERAGE(C11)</f>
        <v>6.47637354157402</v>
      </c>
      <c r="W11" s="21" t="n">
        <f aca="false">AVERAGE(I11:S11)</f>
        <v>25.7569327743411</v>
      </c>
      <c r="X11" s="21" t="n">
        <f aca="false">(E11)</f>
        <v>11.0309886040796</v>
      </c>
      <c r="Y11" s="21" t="n">
        <f aca="false">AVERAGE(G11:L11)</f>
        <v>32.1799119379907</v>
      </c>
      <c r="Z11" s="21" t="n">
        <f aca="false">AVERAGE(M11:R11)</f>
        <v>22.6809472846883</v>
      </c>
      <c r="AA11" s="21" t="n">
        <f aca="false">AVERAGE(I11:S11)</f>
        <v>25.7569327743411</v>
      </c>
      <c r="AB11" s="6"/>
      <c r="AC11" s="6"/>
    </row>
    <row r="12" customFormat="false" ht="15.75" hidden="false" customHeight="false" outlineLevel="0" collapsed="false">
      <c r="A12" s="22" t="s">
        <v>24</v>
      </c>
      <c r="B12" s="23" t="n">
        <f aca="false">(B11/B10)</f>
        <v>0.340914944681332</v>
      </c>
      <c r="C12" s="23" t="n">
        <f aca="false">(C11/C10)</f>
        <v>0.325490886508136</v>
      </c>
      <c r="D12" s="23" t="n">
        <f aca="false">(D11/D10)</f>
        <v>0.138265869474487</v>
      </c>
      <c r="E12" s="23" t="n">
        <f aca="false">(E11/E10)</f>
        <v>0.127138169640438</v>
      </c>
      <c r="F12" s="24"/>
      <c r="G12" s="23" t="n">
        <f aca="false">(G11/G10)</f>
        <v>0.973239525927134</v>
      </c>
      <c r="H12" s="23" t="n">
        <f aca="false">(H11/H10)</f>
        <v>0.66706559796816</v>
      </c>
      <c r="I12" s="23" t="n">
        <f aca="false">(I11/I10)</f>
        <v>0.669106563409972</v>
      </c>
      <c r="J12" s="23" t="n">
        <f aca="false">(J11/J10)</f>
        <v>0.444524985938198</v>
      </c>
      <c r="K12" s="23" t="n">
        <f aca="false">(K11/K10)</f>
        <v>0.248642621743561</v>
      </c>
      <c r="L12" s="23" t="n">
        <f aca="false">(L11/L10)</f>
        <v>0.941497732854942</v>
      </c>
      <c r="M12" s="23" t="n">
        <f aca="false">(M11/M10)</f>
        <v>1.12022098053585</v>
      </c>
      <c r="N12" s="23" t="n">
        <f aca="false">(N11/N10)</f>
        <v>0.656467487272189</v>
      </c>
      <c r="O12" s="23" t="n">
        <f aca="false">(O11/O10)</f>
        <v>0.484536030768496</v>
      </c>
      <c r="P12" s="23" t="n">
        <f aca="false">(P11/P10)</f>
        <v>0.399797064359297</v>
      </c>
      <c r="Q12" s="23" t="n">
        <f aca="false">(Q11/Q10)</f>
        <v>0.234973257208889</v>
      </c>
      <c r="R12" s="25" t="n">
        <f aca="false">(R11/R10)</f>
        <v>0.452866704251922</v>
      </c>
      <c r="S12" s="2"/>
      <c r="T12" s="26" t="s">
        <v>24</v>
      </c>
      <c r="U12" s="27" t="n">
        <f aca="false">AVERAGE(B12)</f>
        <v>0.340914944681332</v>
      </c>
      <c r="V12" s="27" t="n">
        <f aca="false">AVERAGE(C12)</f>
        <v>0.325490886508136</v>
      </c>
      <c r="W12" s="27" t="n">
        <f aca="false">AVERAGE(I12:S12)</f>
        <v>0.565263342834332</v>
      </c>
      <c r="X12" s="27" t="n">
        <f aca="false">(E12)</f>
        <v>0.127138169640438</v>
      </c>
      <c r="Y12" s="27" t="n">
        <f aca="false">AVERAGE(G12:L12)</f>
        <v>0.657346171306995</v>
      </c>
      <c r="Z12" s="27" t="n">
        <f aca="false">AVERAGE(M12:R12)</f>
        <v>0.558143587399442</v>
      </c>
      <c r="AA12" s="27" t="n">
        <f aca="false">AVERAGE(I12:S12)</f>
        <v>0.565263342834332</v>
      </c>
      <c r="AB12" s="6"/>
      <c r="AC12" s="6"/>
    </row>
    <row r="13" customFormat="false" ht="15.75" hidden="false" customHeight="false" outlineLevel="0" collapsed="false">
      <c r="S13" s="2"/>
      <c r="T13" s="10"/>
      <c r="U13" s="10"/>
      <c r="V13" s="10"/>
      <c r="W13" s="28"/>
      <c r="X13" s="10"/>
      <c r="Y13" s="10"/>
      <c r="Z13" s="10"/>
      <c r="AA13" s="10"/>
      <c r="AB13" s="6"/>
      <c r="AC13" s="6"/>
    </row>
    <row r="14" customFormat="false" ht="19.7" hidden="false" customHeight="false" outlineLevel="0" collapsed="false">
      <c r="A14" s="1" t="s">
        <v>25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2"/>
      <c r="T14" s="10"/>
      <c r="U14" s="10"/>
      <c r="V14" s="10"/>
      <c r="W14" s="28"/>
      <c r="X14" s="10"/>
      <c r="Y14" s="10"/>
      <c r="Z14" s="10"/>
      <c r="AA14" s="10"/>
      <c r="AB14" s="6"/>
      <c r="AC14" s="6"/>
    </row>
    <row r="15" customFormat="false" ht="15.75" hidden="false" customHeight="false" outlineLevel="0" collapsed="false">
      <c r="A15" s="6"/>
      <c r="B15" s="3" t="s">
        <v>1</v>
      </c>
      <c r="C15" s="3" t="s">
        <v>2</v>
      </c>
      <c r="D15" s="3" t="s">
        <v>3</v>
      </c>
      <c r="E15" s="3" t="s">
        <v>4</v>
      </c>
      <c r="F15" s="2"/>
      <c r="G15" s="5" t="s">
        <v>5</v>
      </c>
      <c r="H15" s="5"/>
      <c r="I15" s="5"/>
      <c r="J15" s="5"/>
      <c r="K15" s="5"/>
      <c r="L15" s="5"/>
      <c r="M15" s="5" t="s">
        <v>6</v>
      </c>
      <c r="N15" s="5"/>
      <c r="O15" s="5"/>
      <c r="P15" s="5"/>
      <c r="Q15" s="5"/>
      <c r="R15" s="5"/>
      <c r="S15" s="2"/>
      <c r="T15" s="10"/>
      <c r="U15" s="10"/>
      <c r="V15" s="10"/>
      <c r="W15" s="10"/>
      <c r="X15" s="10"/>
      <c r="Y15" s="10"/>
      <c r="Z15" s="10"/>
      <c r="AA15" s="10"/>
      <c r="AB15" s="6"/>
      <c r="AC15" s="6"/>
    </row>
    <row r="16" customFormat="false" ht="15.75" hidden="false" customHeight="false" outlineLevel="0" collapsed="false">
      <c r="A16" s="6"/>
      <c r="B16" s="3"/>
      <c r="C16" s="3"/>
      <c r="D16" s="3"/>
      <c r="E16" s="3"/>
      <c r="F16" s="2"/>
      <c r="G16" s="4" t="s">
        <v>7</v>
      </c>
      <c r="H16" s="4" t="s">
        <v>8</v>
      </c>
      <c r="I16" s="7" t="s">
        <v>9</v>
      </c>
      <c r="J16" s="7" t="s">
        <v>10</v>
      </c>
      <c r="K16" s="7" t="s">
        <v>11</v>
      </c>
      <c r="L16" s="4" t="s">
        <v>12</v>
      </c>
      <c r="M16" s="4" t="s">
        <v>7</v>
      </c>
      <c r="N16" s="4" t="s">
        <v>8</v>
      </c>
      <c r="O16" s="7" t="s">
        <v>9</v>
      </c>
      <c r="P16" s="7" t="s">
        <v>10</v>
      </c>
      <c r="Q16" s="7" t="s">
        <v>11</v>
      </c>
      <c r="R16" s="4" t="s">
        <v>12</v>
      </c>
      <c r="S16" s="2"/>
      <c r="T16" s="10"/>
      <c r="U16" s="10"/>
      <c r="V16" s="10"/>
      <c r="W16" s="10"/>
      <c r="X16" s="28"/>
      <c r="Y16" s="28"/>
      <c r="Z16" s="10"/>
      <c r="AA16" s="10"/>
      <c r="AB16" s="6"/>
      <c r="AC16" s="6"/>
    </row>
    <row r="17" customFormat="false" ht="15.75" hidden="false" customHeight="false" outlineLevel="0" collapsed="false">
      <c r="A17" s="6"/>
      <c r="B17" s="29" t="n">
        <v>7.49</v>
      </c>
      <c r="C17" s="29" t="n">
        <v>16.58</v>
      </c>
      <c r="D17" s="29" t="n">
        <v>70.89</v>
      </c>
      <c r="E17" s="29" t="n">
        <v>91.91</v>
      </c>
      <c r="F17" s="30"/>
      <c r="G17" s="29" t="n">
        <v>10.62</v>
      </c>
      <c r="H17" s="29" t="n">
        <v>12.88</v>
      </c>
      <c r="I17" s="29" t="n">
        <v>23.67</v>
      </c>
      <c r="J17" s="29" t="n">
        <v>33.43</v>
      </c>
      <c r="K17" s="29" t="n">
        <v>57.37</v>
      </c>
      <c r="L17" s="29" t="n">
        <v>9.99</v>
      </c>
      <c r="M17" s="29" t="n">
        <v>81.52</v>
      </c>
      <c r="N17" s="29" t="n">
        <v>82.83</v>
      </c>
      <c r="O17" s="29" t="n">
        <v>67.76</v>
      </c>
      <c r="P17" s="29" t="n">
        <v>96.59</v>
      </c>
      <c r="Q17" s="29" t="n">
        <v>95.58</v>
      </c>
      <c r="R17" s="29" t="n">
        <v>23.04</v>
      </c>
      <c r="S17" s="10"/>
      <c r="T17" s="10"/>
      <c r="U17" s="10"/>
      <c r="V17" s="10"/>
      <c r="W17" s="28"/>
      <c r="X17" s="10"/>
      <c r="Y17" s="10"/>
      <c r="Z17" s="10"/>
      <c r="AA17" s="10"/>
      <c r="AB17" s="10"/>
      <c r="AC17" s="6"/>
    </row>
    <row r="18" customFormat="false" ht="15.75" hidden="false" customHeight="false" outlineLevel="0" collapsed="false">
      <c r="A18" s="6"/>
      <c r="B18" s="29" t="n">
        <v>10.4</v>
      </c>
      <c r="C18" s="29" t="n">
        <v>20.54</v>
      </c>
      <c r="D18" s="29" t="n">
        <v>97.07</v>
      </c>
      <c r="E18" s="29" t="n">
        <v>119.21</v>
      </c>
      <c r="F18" s="30"/>
      <c r="G18" s="29" t="n">
        <v>25.41</v>
      </c>
      <c r="H18" s="29" t="n">
        <v>35.73</v>
      </c>
      <c r="I18" s="29" t="n">
        <v>24.42</v>
      </c>
      <c r="J18" s="29" t="n">
        <v>56.81</v>
      </c>
      <c r="K18" s="29" t="n">
        <v>55.92</v>
      </c>
      <c r="L18" s="29" t="n">
        <v>5.79</v>
      </c>
      <c r="M18" s="29" t="n">
        <v>29.22</v>
      </c>
      <c r="N18" s="29" t="n">
        <v>43.97</v>
      </c>
      <c r="O18" s="29" t="n">
        <v>76.15</v>
      </c>
      <c r="P18" s="29" t="n">
        <v>91.05</v>
      </c>
      <c r="Q18" s="29" t="n">
        <v>108.1</v>
      </c>
      <c r="R18" s="29" t="n">
        <v>81.94</v>
      </c>
      <c r="S18" s="10"/>
      <c r="T18" s="10"/>
      <c r="U18" s="10"/>
      <c r="V18" s="10"/>
      <c r="W18" s="28"/>
      <c r="X18" s="10"/>
      <c r="Y18" s="10"/>
      <c r="Z18" s="10"/>
      <c r="AA18" s="10"/>
      <c r="AB18" s="10"/>
      <c r="AC18" s="6"/>
    </row>
    <row r="19" customFormat="false" ht="15.75" hidden="false" customHeight="false" outlineLevel="0" collapsed="false">
      <c r="A19" s="6"/>
      <c r="B19" s="29" t="n">
        <v>15.73</v>
      </c>
      <c r="C19" s="29" t="n">
        <v>25.2</v>
      </c>
      <c r="D19" s="29" t="n">
        <v>81.36</v>
      </c>
      <c r="E19" s="29" t="n">
        <v>127.55</v>
      </c>
      <c r="F19" s="30"/>
      <c r="G19" s="29" t="n">
        <v>147.3</v>
      </c>
      <c r="H19" s="29" t="n">
        <v>35.11</v>
      </c>
      <c r="I19" s="29" t="n">
        <v>33.41</v>
      </c>
      <c r="J19" s="29" t="n">
        <v>83.4</v>
      </c>
      <c r="K19" s="29" t="n">
        <v>95.76</v>
      </c>
      <c r="L19" s="29" t="n">
        <v>62.86</v>
      </c>
      <c r="M19" s="29" t="n">
        <v>12.12</v>
      </c>
      <c r="N19" s="29" t="n">
        <v>16.44</v>
      </c>
      <c r="O19" s="29" t="n">
        <v>31.4</v>
      </c>
      <c r="P19" s="29" t="n">
        <v>42.88</v>
      </c>
      <c r="Q19" s="29" t="n">
        <v>67.94</v>
      </c>
      <c r="R19" s="29" t="n">
        <v>79.91</v>
      </c>
      <c r="S19" s="31" t="s">
        <v>26</v>
      </c>
      <c r="T19" s="31" t="s">
        <v>27</v>
      </c>
      <c r="U19" s="31" t="s">
        <v>28</v>
      </c>
      <c r="V19" s="10"/>
      <c r="W19" s="28"/>
      <c r="X19" s="10"/>
      <c r="Y19" s="10"/>
      <c r="Z19" s="10"/>
      <c r="AA19" s="10"/>
      <c r="AB19" s="10"/>
      <c r="AC19" s="6"/>
    </row>
    <row r="20" customFormat="false" ht="15.75" hidden="false" customHeight="false" outlineLevel="0" collapsed="false">
      <c r="A20" s="6"/>
      <c r="B20" s="29" t="n">
        <v>27.17</v>
      </c>
      <c r="C20" s="29" t="n">
        <v>33.3</v>
      </c>
      <c r="D20" s="29" t="n">
        <v>106.13</v>
      </c>
      <c r="E20" s="29" t="n">
        <v>127.39</v>
      </c>
      <c r="F20" s="30"/>
      <c r="G20" s="29" t="n">
        <v>20.72</v>
      </c>
      <c r="H20" s="29" t="n">
        <v>40.49</v>
      </c>
      <c r="I20" s="29" t="n">
        <v>182.71</v>
      </c>
      <c r="J20" s="29" t="n">
        <v>119.4</v>
      </c>
      <c r="K20" s="29" t="n">
        <v>84.74</v>
      </c>
      <c r="L20" s="29" t="n">
        <v>14.08</v>
      </c>
      <c r="M20" s="32" t="n">
        <v>9.58</v>
      </c>
      <c r="N20" s="29" t="n">
        <v>16.14</v>
      </c>
      <c r="O20" s="29" t="n">
        <v>28.66</v>
      </c>
      <c r="P20" s="29" t="n">
        <v>43.03</v>
      </c>
      <c r="Q20" s="29" t="n">
        <v>65.56</v>
      </c>
      <c r="R20" s="29" t="n">
        <v>67.45</v>
      </c>
      <c r="S20" s="10"/>
      <c r="T20" s="10"/>
      <c r="U20" s="10"/>
      <c r="V20" s="10"/>
      <c r="W20" s="28"/>
      <c r="X20" s="10"/>
      <c r="Y20" s="10"/>
      <c r="Z20" s="10"/>
      <c r="AA20" s="10"/>
      <c r="AB20" s="10"/>
      <c r="AC20" s="6"/>
    </row>
    <row r="21" customFormat="false" ht="15.75" hidden="false" customHeight="false" outlineLevel="0" collapsed="false">
      <c r="A21" s="6"/>
      <c r="B21" s="33"/>
      <c r="C21" s="33"/>
      <c r="D21" s="29" t="n">
        <v>39.68</v>
      </c>
      <c r="E21" s="29" t="n">
        <v>89</v>
      </c>
      <c r="F21" s="30"/>
      <c r="G21" s="29" t="n">
        <v>68.18</v>
      </c>
      <c r="H21" s="29" t="n">
        <v>90.23</v>
      </c>
      <c r="I21" s="29" t="n">
        <v>107.52</v>
      </c>
      <c r="J21" s="29" t="n">
        <v>116.77</v>
      </c>
      <c r="K21" s="29" t="n">
        <v>92.63</v>
      </c>
      <c r="L21" s="29" t="n">
        <v>50.9</v>
      </c>
      <c r="M21" s="33"/>
      <c r="N21" s="33"/>
      <c r="O21" s="33"/>
      <c r="P21" s="33"/>
      <c r="Q21" s="33"/>
      <c r="R21" s="33"/>
      <c r="S21" s="10"/>
      <c r="T21" s="10"/>
      <c r="U21" s="11" t="s">
        <v>13</v>
      </c>
      <c r="V21" s="11"/>
      <c r="W21" s="11"/>
      <c r="X21" s="11"/>
      <c r="Y21" s="11" t="s">
        <v>14</v>
      </c>
      <c r="Z21" s="11"/>
      <c r="AA21" s="10"/>
      <c r="AB21" s="10"/>
      <c r="AC21" s="6"/>
    </row>
    <row r="22" customFormat="false" ht="15.75" hidden="false" customHeight="false" outlineLevel="0" collapsed="false">
      <c r="A22" s="6"/>
      <c r="B22" s="33"/>
      <c r="C22" s="33"/>
      <c r="D22" s="29" t="n">
        <v>50.4</v>
      </c>
      <c r="E22" s="29" t="n">
        <v>79.57</v>
      </c>
      <c r="G22" s="34" t="n">
        <v>63.17</v>
      </c>
      <c r="H22" s="29" t="n">
        <v>99.09</v>
      </c>
      <c r="I22" s="29" t="n">
        <v>109.76</v>
      </c>
      <c r="J22" s="29" t="n">
        <v>96.58</v>
      </c>
      <c r="K22" s="8"/>
      <c r="L22" s="29" t="n">
        <v>69.8</v>
      </c>
      <c r="M22" s="33"/>
      <c r="N22" s="33"/>
      <c r="O22" s="33"/>
      <c r="P22" s="33"/>
      <c r="Q22" s="33"/>
      <c r="R22" s="33"/>
      <c r="S22" s="10"/>
      <c r="T22" s="10"/>
      <c r="U22" s="11" t="s">
        <v>15</v>
      </c>
      <c r="V22" s="11" t="s">
        <v>16</v>
      </c>
      <c r="W22" s="11" t="s">
        <v>17</v>
      </c>
      <c r="X22" s="11" t="s">
        <v>18</v>
      </c>
      <c r="Y22" s="11" t="s">
        <v>19</v>
      </c>
      <c r="Z22" s="12" t="s">
        <v>20</v>
      </c>
      <c r="AA22" s="11" t="s">
        <v>21</v>
      </c>
      <c r="AB22" s="10"/>
      <c r="AC22" s="6"/>
    </row>
    <row r="23" customFormat="false" ht="15.75" hidden="false" customHeight="false" outlineLevel="0" collapsed="false">
      <c r="A23" s="35" t="s">
        <v>22</v>
      </c>
      <c r="B23" s="36" t="n">
        <f aca="false">AVERAGE(B17:B22)</f>
        <v>15.1975</v>
      </c>
      <c r="C23" s="36" t="n">
        <f aca="false">AVERAGE(C17:C22)</f>
        <v>23.905</v>
      </c>
      <c r="D23" s="36" t="n">
        <f aca="false">AVERAGE(D19:D22)</f>
        <v>69.3925</v>
      </c>
      <c r="E23" s="36" t="n">
        <f aca="false">AVERAGE(E19:E22)</f>
        <v>105.8775</v>
      </c>
      <c r="F23" s="37"/>
      <c r="G23" s="14" t="n">
        <f aca="false">AVERAGE(G17:G22)</f>
        <v>55.9</v>
      </c>
      <c r="H23" s="14" t="n">
        <f aca="false">AVERAGE(H17:H22)</f>
        <v>52.255</v>
      </c>
      <c r="I23" s="14" t="n">
        <f aca="false">AVERAGE(I17:I22)</f>
        <v>80.2483333333333</v>
      </c>
      <c r="J23" s="14" t="n">
        <f aca="false">AVERAGE(J17:J22)</f>
        <v>84.3983333333333</v>
      </c>
      <c r="K23" s="14" t="n">
        <f aca="false">AVERAGE(K17:K22)</f>
        <v>77.284</v>
      </c>
      <c r="L23" s="14" t="n">
        <f aca="false">AVERAGE(L17:L22)</f>
        <v>35.57</v>
      </c>
      <c r="M23" s="14" t="n">
        <f aca="false">AVERAGE(M17:M22)</f>
        <v>33.11</v>
      </c>
      <c r="N23" s="14" t="n">
        <f aca="false">AVERAGE(N17:N22)</f>
        <v>39.845</v>
      </c>
      <c r="O23" s="14" t="n">
        <f aca="false">AVERAGE(O17:O22)</f>
        <v>50.9925</v>
      </c>
      <c r="P23" s="14" t="n">
        <f aca="false">AVERAGE(P17:P22)</f>
        <v>68.3875</v>
      </c>
      <c r="Q23" s="14" t="n">
        <f aca="false">AVERAGE(Q17:Q22)</f>
        <v>84.295</v>
      </c>
      <c r="R23" s="15" t="n">
        <f aca="false">AVERAGE(R17:R22)</f>
        <v>63.085</v>
      </c>
      <c r="S23" s="2"/>
      <c r="T23" s="13" t="s">
        <v>22</v>
      </c>
      <c r="U23" s="16" t="n">
        <f aca="false">(B23)</f>
        <v>15.1975</v>
      </c>
      <c r="V23" s="16" t="n">
        <f aca="false">(C23)</f>
        <v>23.905</v>
      </c>
      <c r="W23" s="16" t="n">
        <f aca="false">(D23)</f>
        <v>69.3925</v>
      </c>
      <c r="X23" s="16" t="n">
        <f aca="false">(E23)</f>
        <v>105.8775</v>
      </c>
      <c r="Y23" s="16" t="n">
        <f aca="false">AVERAGE(G23:L23)</f>
        <v>64.2759444444445</v>
      </c>
      <c r="Z23" s="16" t="n">
        <f aca="false">AVERAGE(M23:R23)</f>
        <v>56.6191666666667</v>
      </c>
      <c r="AA23" s="16" t="n">
        <f aca="false">AVERAGE(B23:E23,G23:R23)</f>
        <v>58.7339479166667</v>
      </c>
      <c r="AB23" s="6"/>
      <c r="AC23" s="6"/>
    </row>
    <row r="24" customFormat="false" ht="15.75" hidden="false" customHeight="false" outlineLevel="0" collapsed="false">
      <c r="A24" s="17" t="s">
        <v>23</v>
      </c>
      <c r="B24" s="38" t="n">
        <f aca="false">STDEV(B17:B20)</f>
        <v>8.68035857554283</v>
      </c>
      <c r="C24" s="38" t="n">
        <f aca="false">STDEV(C17:C20)</f>
        <v>7.18614175572214</v>
      </c>
      <c r="D24" s="14" t="n">
        <f aca="false">STDEV(D17:D22)</f>
        <v>25.9338996296353</v>
      </c>
      <c r="E24" s="14" t="n">
        <f aca="false">STDEV(E17:E22)</f>
        <v>21.3644512371993</v>
      </c>
      <c r="F24" s="38"/>
      <c r="G24" s="14" t="n">
        <f aca="false">STDEV(G17:G22)</f>
        <v>50.5473287128014</v>
      </c>
      <c r="H24" s="14" t="n">
        <f aca="false">STDEV(H17:H22)</f>
        <v>34.3262300580766</v>
      </c>
      <c r="I24" s="14" t="n">
        <f aca="false">STDEV(I17:I22)</f>
        <v>64.2258756006227</v>
      </c>
      <c r="J24" s="14" t="n">
        <f aca="false">STDEV(J17:J22)</f>
        <v>34.0038770828661</v>
      </c>
      <c r="K24" s="14" t="n">
        <f aca="false">STDEV(K17:K22)</f>
        <v>19.2707169041528</v>
      </c>
      <c r="L24" s="14" t="n">
        <f aca="false">STDEV(L17:L22)</f>
        <v>28.8251653941482</v>
      </c>
      <c r="M24" s="14" t="n">
        <f aca="false">STDEV(M17:M20)</f>
        <v>33.4310294985562</v>
      </c>
      <c r="N24" s="14" t="n">
        <f aca="false">STDEV(N17:N20)</f>
        <v>31.487811927792</v>
      </c>
      <c r="O24" s="14" t="n">
        <f aca="false">STDEV(O17:O20)</f>
        <v>24.4721302369314</v>
      </c>
      <c r="P24" s="14" t="n">
        <f aca="false">STDEV(P17:P20)</f>
        <v>29.4539486600127</v>
      </c>
      <c r="Q24" s="14" t="n">
        <f aca="false">STDEV(Q17:Q20)</f>
        <v>20.9166241699435</v>
      </c>
      <c r="R24" s="15" t="n">
        <f aca="false">STDEV(R17:R20)</f>
        <v>27.4544890075679</v>
      </c>
      <c r="S24" s="2"/>
      <c r="T24" s="13" t="s">
        <v>23</v>
      </c>
      <c r="U24" s="21" t="n">
        <f aca="false">AVERAGE(B24)</f>
        <v>8.68035857554283</v>
      </c>
      <c r="V24" s="21" t="n">
        <f aca="false">AVERAGE(C24)</f>
        <v>7.18614175572214</v>
      </c>
      <c r="W24" s="21" t="n">
        <f aca="false">AVERAGE(I11:S11)</f>
        <v>25.7569327743411</v>
      </c>
      <c r="X24" s="21" t="n">
        <f aca="false">(E24)</f>
        <v>21.3644512371993</v>
      </c>
      <c r="Y24" s="21" t="n">
        <f aca="false">AVERAGE(G24:L24)</f>
        <v>38.533198958778</v>
      </c>
      <c r="Z24" s="21" t="n">
        <f aca="false">AVERAGE(M24:R24)</f>
        <v>27.8693389168006</v>
      </c>
      <c r="AA24" s="21" t="n">
        <f aca="false">AVERAGE(I11:S11)</f>
        <v>25.7569327743411</v>
      </c>
      <c r="AB24" s="6"/>
      <c r="AC24" s="6"/>
    </row>
    <row r="25" customFormat="false" ht="15.75" hidden="false" customHeight="false" outlineLevel="0" collapsed="false">
      <c r="A25" s="22" t="s">
        <v>24</v>
      </c>
      <c r="B25" s="23" t="n">
        <f aca="false">(B24/B23)</f>
        <v>0.571170164536459</v>
      </c>
      <c r="C25" s="23" t="n">
        <f aca="false">(C24/C23)</f>
        <v>0.300612497624854</v>
      </c>
      <c r="D25" s="23" t="n">
        <f aca="false">(D24/D23)</f>
        <v>0.373727702988584</v>
      </c>
      <c r="E25" s="23" t="n">
        <f aca="false">(E24/E23)</f>
        <v>0.201784621257579</v>
      </c>
      <c r="F25" s="24"/>
      <c r="G25" s="23" t="n">
        <f aca="false">(G24/G23)</f>
        <v>0.904245594146716</v>
      </c>
      <c r="H25" s="23" t="n">
        <f aca="false">(H24/H23)</f>
        <v>0.656898479725894</v>
      </c>
      <c r="I25" s="23" t="n">
        <f aca="false">(I24/I23)</f>
        <v>0.800339059178252</v>
      </c>
      <c r="J25" s="23" t="n">
        <f aca="false">(J24/J23)</f>
        <v>0.402897495008189</v>
      </c>
      <c r="K25" s="23" t="n">
        <f aca="false">(K24/K23)</f>
        <v>0.249349372498225</v>
      </c>
      <c r="L25" s="23" t="n">
        <f aca="false">(L24/L23)</f>
        <v>0.810378560420248</v>
      </c>
      <c r="M25" s="23" t="n">
        <f aca="false">(M24/M23)</f>
        <v>1.00969584713247</v>
      </c>
      <c r="N25" s="23" t="n">
        <f aca="false">(N24/N23)</f>
        <v>0.790257546186272</v>
      </c>
      <c r="O25" s="23" t="n">
        <f aca="false">(O24/O23)</f>
        <v>0.479916266841819</v>
      </c>
      <c r="P25" s="23" t="n">
        <f aca="false">(P24/P23)</f>
        <v>0.430691992835134</v>
      </c>
      <c r="Q25" s="23" t="n">
        <f aca="false">(Q24/Q23)</f>
        <v>0.248136000592485</v>
      </c>
      <c r="R25" s="25" t="n">
        <f aca="false">(R24/R23)</f>
        <v>0.435198367402202</v>
      </c>
      <c r="S25" s="2"/>
      <c r="T25" s="26" t="s">
        <v>24</v>
      </c>
      <c r="U25" s="21" t="n">
        <f aca="false">AVERAGE(B25)</f>
        <v>0.571170164536459</v>
      </c>
      <c r="V25" s="21" t="n">
        <f aca="false">AVERAGE(C25)</f>
        <v>0.300612497624854</v>
      </c>
      <c r="W25" s="21" t="n">
        <f aca="false">AVERAGE(I12:S12)</f>
        <v>0.565263342834332</v>
      </c>
      <c r="X25" s="21" t="n">
        <f aca="false">(E25)</f>
        <v>0.201784621257579</v>
      </c>
      <c r="Y25" s="21" t="n">
        <f aca="false">AVERAGE(G25:L25)</f>
        <v>0.637351426829587</v>
      </c>
      <c r="Z25" s="21" t="n">
        <f aca="false">AVERAGE(M25:R25)</f>
        <v>0.565649336831731</v>
      </c>
      <c r="AA25" s="21" t="n">
        <f aca="false">AVERAGE(I12:S12)</f>
        <v>0.565263342834332</v>
      </c>
      <c r="AB25" s="6"/>
      <c r="AC25" s="6"/>
    </row>
    <row r="26" customFormat="false" ht="15.75" hidden="false" customHeight="false" outlineLevel="0" collapsed="false">
      <c r="S26" s="2"/>
      <c r="AB26" s="6"/>
      <c r="AC26" s="6"/>
    </row>
    <row r="27" customFormat="false" ht="19.7" hidden="false" customHeight="false" outlineLevel="0" collapsed="false">
      <c r="A27" s="1" t="s">
        <v>29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2"/>
      <c r="AB27" s="6"/>
      <c r="AC27" s="6"/>
    </row>
    <row r="28" customFormat="false" ht="15.75" hidden="false" customHeight="false" outlineLevel="0" collapsed="false">
      <c r="A28" s="6"/>
      <c r="B28" s="3" t="s">
        <v>1</v>
      </c>
      <c r="C28" s="3" t="s">
        <v>2</v>
      </c>
      <c r="D28" s="3" t="s">
        <v>3</v>
      </c>
      <c r="E28" s="3" t="s">
        <v>4</v>
      </c>
      <c r="F28" s="2"/>
      <c r="G28" s="5" t="s">
        <v>5</v>
      </c>
      <c r="H28" s="5"/>
      <c r="I28" s="5"/>
      <c r="J28" s="5"/>
      <c r="K28" s="5"/>
      <c r="L28" s="5"/>
      <c r="M28" s="5" t="s">
        <v>6</v>
      </c>
      <c r="N28" s="5"/>
      <c r="O28" s="5"/>
      <c r="P28" s="5"/>
      <c r="Q28" s="5"/>
      <c r="R28" s="5"/>
      <c r="S28" s="2"/>
      <c r="AB28" s="6"/>
      <c r="AC28" s="6"/>
    </row>
    <row r="29" customFormat="false" ht="15.75" hidden="false" customHeight="false" outlineLevel="0" collapsed="false">
      <c r="A29" s="6"/>
      <c r="B29" s="3"/>
      <c r="C29" s="3"/>
      <c r="D29" s="3"/>
      <c r="E29" s="3"/>
      <c r="F29" s="2"/>
      <c r="G29" s="4" t="s">
        <v>7</v>
      </c>
      <c r="H29" s="4" t="s">
        <v>8</v>
      </c>
      <c r="I29" s="7" t="s">
        <v>9</v>
      </c>
      <c r="J29" s="7" t="s">
        <v>10</v>
      </c>
      <c r="K29" s="7" t="s">
        <v>11</v>
      </c>
      <c r="L29" s="4" t="s">
        <v>12</v>
      </c>
      <c r="M29" s="4" t="s">
        <v>7</v>
      </c>
      <c r="N29" s="4" t="s">
        <v>8</v>
      </c>
      <c r="O29" s="7" t="s">
        <v>9</v>
      </c>
      <c r="P29" s="7" t="s">
        <v>10</v>
      </c>
      <c r="Q29" s="7" t="s">
        <v>11</v>
      </c>
      <c r="R29" s="4" t="s">
        <v>12</v>
      </c>
      <c r="S29" s="39"/>
      <c r="AB29" s="6"/>
      <c r="AC29" s="6"/>
    </row>
    <row r="30" customFormat="false" ht="15.75" hidden="false" customHeight="false" outlineLevel="0" collapsed="false">
      <c r="A30" s="6"/>
      <c r="B30" s="40" t="n">
        <v>1.19887618845379</v>
      </c>
      <c r="C30" s="40" t="n">
        <v>1.22213839712009</v>
      </c>
      <c r="D30" s="40" t="n">
        <v>1.00665841391792</v>
      </c>
      <c r="E30" s="40" t="n">
        <v>1.12589822338119</v>
      </c>
      <c r="F30" s="30"/>
      <c r="G30" s="40" t="n">
        <v>1.88058425780038</v>
      </c>
      <c r="H30" s="40" t="n">
        <v>1.42777252636969</v>
      </c>
      <c r="I30" s="40" t="n">
        <v>1.31129576503473</v>
      </c>
      <c r="J30" s="40" t="n">
        <v>1.19065173782783</v>
      </c>
      <c r="K30" s="40" t="n">
        <v>1.09698103955689</v>
      </c>
      <c r="L30" s="40" t="n">
        <v>2.61036855782348</v>
      </c>
      <c r="M30" s="40" t="n">
        <v>1.10794833763962</v>
      </c>
      <c r="N30" s="40" t="n">
        <v>1.64617087622237</v>
      </c>
      <c r="O30" s="40" t="n">
        <v>1.25029718854213</v>
      </c>
      <c r="P30" s="40" t="n">
        <v>1.28196609409939</v>
      </c>
      <c r="Q30" s="40" t="n">
        <v>1.12086821924994</v>
      </c>
      <c r="R30" s="40" t="n">
        <v>1.12354284143881</v>
      </c>
      <c r="S30" s="2"/>
      <c r="T30" s="10" t="n">
        <f aca="false">MAX(B30:R35)</f>
        <v>2.83504273096749</v>
      </c>
      <c r="AB30" s="6"/>
      <c r="AC30" s="39"/>
    </row>
    <row r="31" customFormat="false" ht="15.75" hidden="false" customHeight="false" outlineLevel="0" collapsed="false">
      <c r="A31" s="6"/>
      <c r="B31" s="40" t="n">
        <v>1.61784763111885</v>
      </c>
      <c r="C31" s="40" t="n">
        <v>1.19611946301823</v>
      </c>
      <c r="D31" s="40" t="n">
        <v>1.08828464713583</v>
      </c>
      <c r="E31" s="40" t="n">
        <v>1.15578464164907</v>
      </c>
      <c r="F31" s="30"/>
      <c r="G31" s="40" t="n">
        <v>1.18213972336849</v>
      </c>
      <c r="H31" s="40" t="n">
        <v>1.23106548707594</v>
      </c>
      <c r="I31" s="40" t="n">
        <v>1.43529809269094</v>
      </c>
      <c r="J31" s="40" t="n">
        <v>1.55599711654869</v>
      </c>
      <c r="K31" s="40" t="n">
        <v>1.08394605419102</v>
      </c>
      <c r="L31" s="40" t="n">
        <v>1.97524495678349</v>
      </c>
      <c r="M31" s="40" t="n">
        <v>1.1620465166605</v>
      </c>
      <c r="N31" s="40" t="n">
        <v>1.15834111879886</v>
      </c>
      <c r="O31" s="40" t="n">
        <v>1.27874379285263</v>
      </c>
      <c r="P31" s="40" t="n">
        <v>1.254505557834</v>
      </c>
      <c r="Q31" s="40" t="n">
        <v>1.13364159827009</v>
      </c>
      <c r="R31" s="40" t="n">
        <v>1.03679234355617</v>
      </c>
      <c r="AB31" s="6"/>
      <c r="AC31" s="6"/>
    </row>
    <row r="32" customFormat="false" ht="15.75" hidden="false" customHeight="false" outlineLevel="0" collapsed="false">
      <c r="A32" s="6"/>
      <c r="B32" s="40" t="n">
        <v>1.2984766324575</v>
      </c>
      <c r="C32" s="40" t="n">
        <v>1.25266880620132</v>
      </c>
      <c r="D32" s="40" t="n">
        <v>1.06102883063806</v>
      </c>
      <c r="E32" s="40" t="n">
        <v>1.26169879990973</v>
      </c>
      <c r="F32" s="30"/>
      <c r="G32" s="40" t="n">
        <v>1.17614057121674</v>
      </c>
      <c r="H32" s="40" t="n">
        <v>1.31473266981481</v>
      </c>
      <c r="I32" s="41" t="n">
        <f aca="false">(I19/I6)</f>
        <v>0.295587857983349</v>
      </c>
      <c r="J32" s="40" t="n">
        <v>1.22458131472156</v>
      </c>
      <c r="K32" s="40" t="n">
        <v>1.1472638262629</v>
      </c>
      <c r="L32" s="40" t="n">
        <v>2.83504273096749</v>
      </c>
      <c r="M32" s="40" t="n">
        <v>1.63468535223195</v>
      </c>
      <c r="N32" s="40" t="n">
        <v>1.2186816515607</v>
      </c>
      <c r="O32" s="40" t="n">
        <v>1.26088002248348</v>
      </c>
      <c r="P32" s="40" t="n">
        <v>1.19731765102529</v>
      </c>
      <c r="Q32" s="40" t="n">
        <v>1.07978365651474</v>
      </c>
      <c r="R32" s="40" t="n">
        <v>1.06895800496238</v>
      </c>
      <c r="AB32" s="6"/>
      <c r="AC32" s="6"/>
    </row>
    <row r="33" customFormat="false" ht="15.75" hidden="false" customHeight="false" outlineLevel="0" collapsed="false">
      <c r="A33" s="6"/>
      <c r="B33" s="41" t="n">
        <f aca="false">(B20/B7)</f>
        <v>2.46831705655235</v>
      </c>
      <c r="C33" s="40" t="n">
        <v>1.15830692107052</v>
      </c>
      <c r="D33" s="40" t="n">
        <v>1.2023782049228</v>
      </c>
      <c r="E33" s="40" t="n">
        <v>1.20388181982483</v>
      </c>
      <c r="F33" s="30"/>
      <c r="G33" s="40" t="n">
        <v>1.66730618962861</v>
      </c>
      <c r="H33" s="40" t="n">
        <v>1.28034722051922</v>
      </c>
      <c r="I33" s="40" t="n">
        <v>1.24749590051769</v>
      </c>
      <c r="J33" s="40" t="n">
        <v>1.22003979419316</v>
      </c>
      <c r="K33" s="40" t="n">
        <v>1.07757196823785</v>
      </c>
      <c r="L33" s="40" t="n">
        <v>1.3741092775537</v>
      </c>
      <c r="M33" s="41" t="n">
        <f aca="false">(M20/M7)</f>
        <v>1.50707127912282</v>
      </c>
      <c r="N33" s="40" t="n">
        <v>1.30831672640586</v>
      </c>
      <c r="O33" s="40" t="n">
        <v>1.30336583966141</v>
      </c>
      <c r="P33" s="40" t="n">
        <v>1.19204527536079</v>
      </c>
      <c r="Q33" s="40" t="n">
        <v>1.12421982639825</v>
      </c>
      <c r="R33" s="40" t="n">
        <v>1.09743847622595</v>
      </c>
      <c r="S33" s="2"/>
      <c r="AB33" s="6"/>
      <c r="AC33" s="6"/>
    </row>
    <row r="34" customFormat="false" ht="15.75" hidden="false" customHeight="false" outlineLevel="0" collapsed="false">
      <c r="A34" s="6"/>
      <c r="B34" s="30"/>
      <c r="C34" s="30"/>
      <c r="D34" s="40" t="n">
        <v>1.25797977811139</v>
      </c>
      <c r="E34" s="40" t="n">
        <v>1.43112742832898</v>
      </c>
      <c r="F34" s="30"/>
      <c r="G34" s="40" t="n">
        <v>1.16289543195943</v>
      </c>
      <c r="H34" s="40" t="n">
        <v>1.24217175970405</v>
      </c>
      <c r="I34" s="40" t="n">
        <v>1.29452060197788</v>
      </c>
      <c r="J34" s="40" t="n">
        <v>1.17621952570104</v>
      </c>
      <c r="K34" s="40" t="n">
        <v>1.04814082282747</v>
      </c>
      <c r="L34" s="40" t="n">
        <v>1.07492310032765</v>
      </c>
      <c r="M34" s="30"/>
      <c r="N34" s="30"/>
      <c r="O34" s="30"/>
      <c r="P34" s="30"/>
      <c r="Q34" s="30"/>
      <c r="R34" s="30"/>
      <c r="S34" s="2"/>
      <c r="T34" s="10"/>
      <c r="U34" s="11" t="s">
        <v>13</v>
      </c>
      <c r="V34" s="11"/>
      <c r="W34" s="11"/>
      <c r="X34" s="11"/>
      <c r="Y34" s="11" t="s">
        <v>14</v>
      </c>
      <c r="Z34" s="11"/>
      <c r="AA34" s="10"/>
      <c r="AB34" s="6"/>
      <c r="AC34" s="6"/>
    </row>
    <row r="35" customFormat="false" ht="15.75" hidden="false" customHeight="false" outlineLevel="0" collapsed="false">
      <c r="A35" s="6"/>
      <c r="B35" s="30"/>
      <c r="C35" s="30"/>
      <c r="D35" s="40" t="n">
        <v>1.24727556785169</v>
      </c>
      <c r="E35" s="40" t="n">
        <v>1.19271646372421</v>
      </c>
      <c r="F35" s="30"/>
      <c r="G35" s="40" t="n">
        <v>1.2741810449991</v>
      </c>
      <c r="H35" s="40" t="n">
        <v>1.29296027579758</v>
      </c>
      <c r="I35" s="40" t="n">
        <v>1.2950958528767</v>
      </c>
      <c r="J35" s="40" t="n">
        <v>1.16173485378831</v>
      </c>
      <c r="K35" s="30"/>
      <c r="L35" s="40" t="n">
        <v>1.34788313346434</v>
      </c>
      <c r="M35" s="30"/>
      <c r="N35" s="30"/>
      <c r="O35" s="30"/>
      <c r="P35" s="30"/>
      <c r="Q35" s="30"/>
      <c r="R35" s="30"/>
      <c r="S35" s="2"/>
      <c r="T35" s="10"/>
      <c r="U35" s="11" t="s">
        <v>15</v>
      </c>
      <c r="V35" s="11" t="s">
        <v>16</v>
      </c>
      <c r="W35" s="11" t="s">
        <v>17</v>
      </c>
      <c r="X35" s="11" t="s">
        <v>18</v>
      </c>
      <c r="Y35" s="11" t="s">
        <v>19</v>
      </c>
      <c r="Z35" s="12" t="s">
        <v>20</v>
      </c>
      <c r="AA35" s="11" t="s">
        <v>21</v>
      </c>
      <c r="AB35" s="6"/>
      <c r="AC35" s="6"/>
    </row>
    <row r="36" customFormat="false" ht="15.75" hidden="false" customHeight="false" outlineLevel="0" collapsed="false">
      <c r="A36" s="35" t="s">
        <v>22</v>
      </c>
      <c r="B36" s="36" t="n">
        <f aca="false">AVERAGE(B30:B35)</f>
        <v>1.64587937714562</v>
      </c>
      <c r="C36" s="36" t="n">
        <f aca="false">AVERAGE(C30:C35)</f>
        <v>1.20730839685254</v>
      </c>
      <c r="D36" s="36" t="n">
        <f aca="false">AVERAGE(D30:D35)</f>
        <v>1.14393424042962</v>
      </c>
      <c r="E36" s="36" t="n">
        <f aca="false">AVERAGE(E30:E35)</f>
        <v>1.22851789613634</v>
      </c>
      <c r="F36" s="37"/>
      <c r="G36" s="36" t="n">
        <f aca="false">AVERAGE(G30:G35)</f>
        <v>1.39054120316213</v>
      </c>
      <c r="H36" s="36" t="n">
        <f aca="false">AVERAGE(H30:H35)</f>
        <v>1.29817498988022</v>
      </c>
      <c r="I36" s="36" t="n">
        <f aca="false">AVERAGE(I30:I35)</f>
        <v>1.14654901184688</v>
      </c>
      <c r="J36" s="36" t="n">
        <f aca="false">AVERAGE(J30:J35)</f>
        <v>1.25487072379677</v>
      </c>
      <c r="K36" s="36" t="n">
        <f aca="false">AVERAGE(K30:K35)</f>
        <v>1.09078074221523</v>
      </c>
      <c r="L36" s="36" t="n">
        <f aca="false">AVERAGE(L30:L35)</f>
        <v>1.86959529282003</v>
      </c>
      <c r="M36" s="36" t="n">
        <f aca="false">AVERAGE(M30:M35)</f>
        <v>1.35293787141372</v>
      </c>
      <c r="N36" s="36" t="n">
        <f aca="false">AVERAGE(N30:N35)</f>
        <v>1.33287759324695</v>
      </c>
      <c r="O36" s="36" t="n">
        <f aca="false">AVERAGE(O30:O35)</f>
        <v>1.27332171088491</v>
      </c>
      <c r="P36" s="36" t="n">
        <f aca="false">AVERAGE(P30:P35)</f>
        <v>1.23145864457987</v>
      </c>
      <c r="Q36" s="36" t="n">
        <f aca="false">AVERAGE(Q30:Q35)</f>
        <v>1.11462832510826</v>
      </c>
      <c r="R36" s="42" t="n">
        <f aca="false">AVERAGE(R30:R35)</f>
        <v>1.08168291654583</v>
      </c>
      <c r="S36" s="2"/>
      <c r="T36" s="13" t="s">
        <v>22</v>
      </c>
      <c r="U36" s="43" t="n">
        <f aca="false">(B36)</f>
        <v>1.64587937714562</v>
      </c>
      <c r="V36" s="43" t="n">
        <f aca="false">(C36)</f>
        <v>1.20730839685254</v>
      </c>
      <c r="W36" s="43" t="n">
        <f aca="false">(D36)</f>
        <v>1.14393424042962</v>
      </c>
      <c r="X36" s="43" t="n">
        <f aca="false">(E36)</f>
        <v>1.22851789613634</v>
      </c>
      <c r="Y36" s="43" t="n">
        <f aca="false">AVERAGE(G36:L36)</f>
        <v>1.34175199395354</v>
      </c>
      <c r="Z36" s="43" t="n">
        <f aca="false">AVERAGE(M36:R36)</f>
        <v>1.23115117696326</v>
      </c>
      <c r="AA36" s="43" t="n">
        <f aca="false">AVERAGE(B36:E36,G36:R36)</f>
        <v>1.29144118350406</v>
      </c>
      <c r="AB36" s="6"/>
      <c r="AC36" s="6"/>
    </row>
    <row r="37" customFormat="false" ht="15.75" hidden="false" customHeight="false" outlineLevel="0" collapsed="false">
      <c r="A37" s="17" t="s">
        <v>23</v>
      </c>
      <c r="B37" s="38" t="n">
        <f aca="false">STDEV(B30:B33)</f>
        <v>0.576683053623837</v>
      </c>
      <c r="C37" s="38" t="n">
        <f aca="false">STDEV(C30:C33)</f>
        <v>0.0400159656195245</v>
      </c>
      <c r="D37" s="38" t="n">
        <f aca="false">STDEV(D30:D35)</f>
        <v>0.105750979527474</v>
      </c>
      <c r="E37" s="38" t="n">
        <f aca="false">STDEV(E30:E35)</f>
        <v>0.109417729161238</v>
      </c>
      <c r="F37" s="38"/>
      <c r="G37" s="38" t="n">
        <f aca="false">STDEV(G30:G35)</f>
        <v>0.307083748982566</v>
      </c>
      <c r="H37" s="38" t="n">
        <f aca="false">STDEV(H30:H35)</f>
        <v>0.0707880611248977</v>
      </c>
      <c r="I37" s="38" t="n">
        <f aca="false">STDEV(I30:I35)</f>
        <v>0.421616991962405</v>
      </c>
      <c r="J37" s="38" t="n">
        <f aca="false">STDEV(J30:J35)</f>
        <v>0.149527339155063</v>
      </c>
      <c r="K37" s="38" t="n">
        <f aca="false">STDEV(K30:K35)</f>
        <v>0.0362909419360728</v>
      </c>
      <c r="L37" s="38" t="n">
        <f aca="false">STDEV(L30:L35)</f>
        <v>0.726799766033216</v>
      </c>
      <c r="M37" s="38" t="n">
        <f aca="false">STDEV(M30:M33)</f>
        <v>0.257939354175749</v>
      </c>
      <c r="N37" s="38" t="n">
        <f aca="false">STDEV(N30:N33)</f>
        <v>0.217761039787409</v>
      </c>
      <c r="O37" s="38" t="n">
        <f aca="false">STDEV(O30:O33)</f>
        <v>0.0232161788859626</v>
      </c>
      <c r="P37" s="38" t="n">
        <f aca="false">STDEV(P30:P33)</f>
        <v>0.0439741734112333</v>
      </c>
      <c r="Q37" s="38" t="n">
        <f aca="false">STDEV(Q30:Q33)</f>
        <v>0.0238508466768921</v>
      </c>
      <c r="R37" s="44" t="n">
        <f aca="false">STDEV(R30:R33)</f>
        <v>0.0373165641997687</v>
      </c>
      <c r="S37" s="6"/>
      <c r="T37" s="13" t="s">
        <v>23</v>
      </c>
      <c r="U37" s="45" t="n">
        <f aca="false">AVERAGE(B37)</f>
        <v>0.576683053623837</v>
      </c>
      <c r="V37" s="45" t="n">
        <f aca="false">AVERAGE(C37)</f>
        <v>0.0400159656195245</v>
      </c>
      <c r="W37" s="45" t="n">
        <f aca="false">AVERAGE(I24:S24)</f>
        <v>31.3541668482594</v>
      </c>
      <c r="X37" s="45" t="n">
        <f aca="false">(E37)</f>
        <v>0.109417729161238</v>
      </c>
      <c r="Y37" s="45" t="n">
        <f aca="false">AVERAGE(G37:L37)</f>
        <v>0.28535114153237</v>
      </c>
      <c r="Z37" s="45" t="n">
        <f aca="false">AVERAGE(M37:R37)</f>
        <v>0.100676359522836</v>
      </c>
      <c r="AA37" s="45" t="n">
        <f aca="false">AVERAGE(I24:S24)</f>
        <v>31.3541668482594</v>
      </c>
      <c r="AB37" s="6"/>
      <c r="AC37" s="6"/>
    </row>
    <row r="38" customFormat="false" ht="15.75" hidden="false" customHeight="false" outlineLevel="0" collapsed="false">
      <c r="A38" s="22" t="s">
        <v>24</v>
      </c>
      <c r="B38" s="23" t="n">
        <f aca="false">(B37/B36)</f>
        <v>0.350379901244011</v>
      </c>
      <c r="C38" s="23" t="n">
        <f aca="false">(C37/C36)</f>
        <v>0.0331447753729257</v>
      </c>
      <c r="D38" s="23" t="n">
        <f aca="false">(D37/D36)</f>
        <v>0.0924449813546606</v>
      </c>
      <c r="E38" s="23" t="n">
        <f aca="false">(E37/E36)</f>
        <v>0.0890648231542697</v>
      </c>
      <c r="F38" s="24"/>
      <c r="G38" s="23" t="n">
        <f aca="false">(G37/G36)</f>
        <v>0.220837576250347</v>
      </c>
      <c r="H38" s="23" t="n">
        <f aca="false">(H37/H36)</f>
        <v>0.0545289053299582</v>
      </c>
      <c r="I38" s="23" t="n">
        <f aca="false">(I37/I36)</f>
        <v>0.367726968150499</v>
      </c>
      <c r="J38" s="23" t="n">
        <f aca="false">(J37/J36)</f>
        <v>0.119157564456241</v>
      </c>
      <c r="K38" s="23" t="n">
        <f aca="false">(K37/K36)</f>
        <v>0.0332706111609294</v>
      </c>
      <c r="L38" s="23" t="n">
        <f aca="false">(L37/L36)</f>
        <v>0.388747109507823</v>
      </c>
      <c r="M38" s="23" t="n">
        <f aca="false">(M37/M36)</f>
        <v>0.190651292735432</v>
      </c>
      <c r="N38" s="23" t="n">
        <f aca="false">(N37/N36)</f>
        <v>0.163376622797697</v>
      </c>
      <c r="O38" s="23" t="n">
        <f aca="false">(O37/O36)</f>
        <v>0.0182327676403383</v>
      </c>
      <c r="P38" s="23" t="n">
        <f aca="false">(P37/P36)</f>
        <v>0.0357090135383603</v>
      </c>
      <c r="Q38" s="23" t="n">
        <f aca="false">(Q37/Q36)</f>
        <v>0.02139802671404</v>
      </c>
      <c r="R38" s="25" t="n">
        <f aca="false">(R37/R36)</f>
        <v>0.0344986165806638</v>
      </c>
      <c r="S38" s="6"/>
      <c r="T38" s="26" t="s">
        <v>24</v>
      </c>
      <c r="U38" s="27" t="n">
        <f aca="false">AVERAGE(B38)</f>
        <v>0.350379901244011</v>
      </c>
      <c r="V38" s="27" t="n">
        <f aca="false">AVERAGE(C38)</f>
        <v>0.0331447753729257</v>
      </c>
      <c r="W38" s="27" t="n">
        <f aca="false">AVERAGE(I25:S25)</f>
        <v>0.56568605080953</v>
      </c>
      <c r="X38" s="27" t="n">
        <f aca="false">(E38)</f>
        <v>0.0890648231542697</v>
      </c>
      <c r="Y38" s="27" t="n">
        <f aca="false">AVERAGE(G38:L38)</f>
        <v>0.197378122475966</v>
      </c>
      <c r="Z38" s="27" t="n">
        <f aca="false">AVERAGE(M38:R38)</f>
        <v>0.0773110566677552</v>
      </c>
      <c r="AA38" s="27" t="n">
        <f aca="false">AVERAGE(I25:S25)</f>
        <v>0.56568605080953</v>
      </c>
      <c r="AB38" s="6"/>
      <c r="AC38" s="6"/>
    </row>
    <row r="39" customFormat="false" ht="15.75" hidden="false" customHeight="false" outlineLevel="0" collapsed="false">
      <c r="S39" s="6"/>
      <c r="T39" s="10"/>
      <c r="U39" s="10"/>
      <c r="V39" s="10"/>
      <c r="W39" s="28"/>
      <c r="X39" s="10"/>
      <c r="Y39" s="10"/>
      <c r="Z39" s="10"/>
      <c r="AA39" s="10"/>
      <c r="AB39" s="6"/>
      <c r="AC39" s="6"/>
    </row>
    <row r="40" customFormat="false" ht="19.7" hidden="false" customHeight="false" outlineLevel="0" collapsed="false">
      <c r="A40" s="1" t="s">
        <v>30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6"/>
      <c r="T40" s="10"/>
      <c r="U40" s="10"/>
      <c r="V40" s="10"/>
      <c r="W40" s="28"/>
      <c r="X40" s="10"/>
      <c r="Y40" s="10"/>
      <c r="Z40" s="10"/>
      <c r="AA40" s="10"/>
      <c r="AB40" s="6"/>
      <c r="AC40" s="6"/>
    </row>
    <row r="41" customFormat="false" ht="15.75" hidden="false" customHeight="false" outlineLevel="0" collapsed="false">
      <c r="A41" s="6"/>
      <c r="B41" s="3" t="s">
        <v>1</v>
      </c>
      <c r="C41" s="3" t="s">
        <v>2</v>
      </c>
      <c r="D41" s="3" t="s">
        <v>3</v>
      </c>
      <c r="E41" s="3" t="s">
        <v>4</v>
      </c>
      <c r="F41" s="2"/>
      <c r="G41" s="5" t="s">
        <v>5</v>
      </c>
      <c r="H41" s="5"/>
      <c r="I41" s="5"/>
      <c r="J41" s="5"/>
      <c r="K41" s="5"/>
      <c r="L41" s="5"/>
      <c r="M41" s="5" t="s">
        <v>6</v>
      </c>
      <c r="N41" s="5"/>
      <c r="O41" s="5"/>
      <c r="P41" s="5"/>
      <c r="Q41" s="5"/>
      <c r="R41" s="5"/>
      <c r="S41" s="6"/>
      <c r="T41" s="10"/>
      <c r="U41" s="10"/>
      <c r="V41" s="10"/>
      <c r="W41" s="28"/>
      <c r="X41" s="10"/>
      <c r="Y41" s="10"/>
      <c r="Z41" s="10"/>
      <c r="AA41" s="10"/>
      <c r="AB41" s="6"/>
      <c r="AC41" s="6"/>
    </row>
    <row r="42" customFormat="false" ht="15.75" hidden="false" customHeight="false" outlineLevel="0" collapsed="false">
      <c r="A42" s="6"/>
      <c r="B42" s="3"/>
      <c r="C42" s="3"/>
      <c r="D42" s="3"/>
      <c r="E42" s="3"/>
      <c r="F42" s="2"/>
      <c r="G42" s="4" t="s">
        <v>7</v>
      </c>
      <c r="H42" s="4" t="s">
        <v>8</v>
      </c>
      <c r="I42" s="7" t="s">
        <v>9</v>
      </c>
      <c r="J42" s="7" t="s">
        <v>10</v>
      </c>
      <c r="K42" s="7" t="s">
        <v>11</v>
      </c>
      <c r="L42" s="4" t="s">
        <v>12</v>
      </c>
      <c r="M42" s="4" t="s">
        <v>7</v>
      </c>
      <c r="N42" s="4" t="s">
        <v>8</v>
      </c>
      <c r="O42" s="7" t="s">
        <v>9</v>
      </c>
      <c r="P42" s="7" t="s">
        <v>10</v>
      </c>
      <c r="Q42" s="7" t="s">
        <v>11</v>
      </c>
      <c r="R42" s="4" t="s">
        <v>12</v>
      </c>
      <c r="S42" s="6"/>
      <c r="T42" s="46"/>
      <c r="U42" s="10"/>
      <c r="V42" s="10"/>
      <c r="W42" s="10"/>
      <c r="X42" s="10"/>
      <c r="Y42" s="10"/>
      <c r="Z42" s="10"/>
      <c r="AA42" s="10"/>
      <c r="AB42" s="6"/>
      <c r="AC42" s="6"/>
    </row>
    <row r="43" customFormat="false" ht="15.75" hidden="false" customHeight="false" outlineLevel="0" collapsed="false">
      <c r="A43" s="6"/>
      <c r="B43" s="40" t="n">
        <v>-1.03807627974732</v>
      </c>
      <c r="C43" s="40" t="n">
        <v>-1.16532230401762</v>
      </c>
      <c r="D43" s="40" t="n">
        <v>-0.93778038250814</v>
      </c>
      <c r="E43" s="40" t="n">
        <v>-1.10797986373776</v>
      </c>
      <c r="F43" s="30"/>
      <c r="G43" s="40" t="n">
        <v>-1.25015086018481</v>
      </c>
      <c r="H43" s="40" t="n">
        <v>-1.1889645156325</v>
      </c>
      <c r="I43" s="40" t="n">
        <v>-1.24775907697699</v>
      </c>
      <c r="J43" s="40" t="n">
        <v>-1.16943261228582</v>
      </c>
      <c r="K43" s="40" t="n">
        <v>-1.05290864607984</v>
      </c>
      <c r="L43" s="40" t="n">
        <v>-0.335530156519649</v>
      </c>
      <c r="M43" s="40" t="n">
        <v>-0.996591117494045</v>
      </c>
      <c r="N43" s="40" t="n">
        <v>-1.1023295890375</v>
      </c>
      <c r="O43" s="40" t="n">
        <v>-1.19641552755908</v>
      </c>
      <c r="P43" s="40" t="n">
        <v>-1.14750267700841</v>
      </c>
      <c r="Q43" s="40" t="n">
        <v>-1.11162673913972</v>
      </c>
      <c r="R43" s="40" t="n">
        <v>-0.967033984802089</v>
      </c>
      <c r="S43" s="4"/>
      <c r="T43" s="10" t="n">
        <f aca="false">MIN(B43:R48)</f>
        <v>-1.33288680132291</v>
      </c>
      <c r="U43" s="10"/>
      <c r="V43" s="10"/>
      <c r="W43" s="10"/>
      <c r="X43" s="28"/>
      <c r="Y43" s="28"/>
      <c r="Z43" s="10"/>
      <c r="AA43" s="10"/>
      <c r="AB43" s="6"/>
      <c r="AC43" s="6"/>
    </row>
    <row r="44" customFormat="false" ht="15.75" hidden="false" customHeight="false" outlineLevel="0" collapsed="false">
      <c r="A44" s="6"/>
      <c r="B44" s="40" t="n">
        <v>-1.19717773203748</v>
      </c>
      <c r="C44" s="40" t="n">
        <v>-1.10788579474361</v>
      </c>
      <c r="D44" s="40" t="n">
        <v>-1.04273891520188</v>
      </c>
      <c r="E44" s="40" t="n">
        <v>-1.10061513713678</v>
      </c>
      <c r="F44" s="30"/>
      <c r="G44" s="40" t="n">
        <v>-1.15628641874027</v>
      </c>
      <c r="H44" s="40" t="n">
        <v>-1.21325522059345</v>
      </c>
      <c r="I44" s="40" t="n">
        <v>-1.33288680132291</v>
      </c>
      <c r="J44" s="40" t="n">
        <v>-1.27054837708283</v>
      </c>
      <c r="K44" s="40" t="n">
        <v>-1.05969346761408</v>
      </c>
      <c r="L44" s="40" t="n">
        <v>-1.28701443533087</v>
      </c>
      <c r="M44" s="40" t="n">
        <v>-1.06480470820473</v>
      </c>
      <c r="N44" s="40" t="n">
        <v>-1.06023092334109</v>
      </c>
      <c r="O44" s="40" t="n">
        <v>-1.20622466552302</v>
      </c>
      <c r="P44" s="40" t="n">
        <v>-1.20706235134335</v>
      </c>
      <c r="Q44" s="40" t="n">
        <v>-1.10997746555521</v>
      </c>
      <c r="R44" s="40" t="n">
        <v>-1.0013491585127</v>
      </c>
      <c r="S44" s="47"/>
      <c r="T44" s="48"/>
      <c r="U44" s="48"/>
      <c r="V44" s="48"/>
      <c r="W44" s="48"/>
      <c r="X44" s="48"/>
      <c r="Y44" s="10"/>
      <c r="Z44" s="10"/>
      <c r="AA44" s="10"/>
      <c r="AB44" s="6"/>
      <c r="AC44" s="6"/>
    </row>
    <row r="45" customFormat="false" ht="15.75" hidden="false" customHeight="false" outlineLevel="0" collapsed="false">
      <c r="A45" s="6"/>
      <c r="B45" s="40" t="n">
        <v>-1.25156583813191</v>
      </c>
      <c r="C45" s="40" t="n">
        <v>-1.17883931227556</v>
      </c>
      <c r="D45" s="40" t="n">
        <v>-0.963444125668745</v>
      </c>
      <c r="E45" s="40" t="n">
        <v>-1.21706140925967</v>
      </c>
      <c r="F45" s="30"/>
      <c r="G45" s="40" t="n">
        <v>-1.11704665894163</v>
      </c>
      <c r="H45" s="40" t="n">
        <v>-1.13852749504567</v>
      </c>
      <c r="I45" s="40" t="n">
        <v>-0.271259093</v>
      </c>
      <c r="J45" s="40" t="n">
        <v>-1.1820046146433</v>
      </c>
      <c r="K45" s="40" t="n">
        <v>-1.08448467298577</v>
      </c>
      <c r="L45" s="40" t="n">
        <v>-1.00305757821414</v>
      </c>
      <c r="M45" s="40" t="n">
        <v>-1.14131300599611</v>
      </c>
      <c r="N45" s="40" t="n">
        <v>-1.12885392206422</v>
      </c>
      <c r="O45" s="40" t="n">
        <v>-1.16014178025335</v>
      </c>
      <c r="P45" s="40" t="n">
        <v>-1.13607656569415</v>
      </c>
      <c r="Q45" s="40" t="n">
        <v>-1.07156630312212</v>
      </c>
      <c r="R45" s="40" t="n">
        <v>-0.974169112506889</v>
      </c>
      <c r="S45" s="47"/>
      <c r="T45" s="48"/>
      <c r="U45" s="48"/>
      <c r="V45" s="48"/>
      <c r="W45" s="48"/>
      <c r="X45" s="48"/>
      <c r="Y45" s="10"/>
      <c r="Z45" s="10"/>
      <c r="AA45" s="10"/>
      <c r="AB45" s="6"/>
      <c r="AC45" s="6"/>
    </row>
    <row r="46" customFormat="false" ht="15.75" hidden="false" customHeight="false" outlineLevel="0" collapsed="false">
      <c r="A46" s="6"/>
      <c r="B46" s="40" t="n">
        <v>-1.17217942754951</v>
      </c>
      <c r="C46" s="40" t="n">
        <v>-1.087200731276</v>
      </c>
      <c r="D46" s="40" t="n">
        <v>-1.13979768470357</v>
      </c>
      <c r="E46" s="40" t="n">
        <v>-1.17656804483215</v>
      </c>
      <c r="F46" s="30"/>
      <c r="G46" s="40" t="n">
        <v>-1.24501525964853</v>
      </c>
      <c r="H46" s="40" t="n">
        <v>-1.22290120309411</v>
      </c>
      <c r="I46" s="40" t="n">
        <v>-1.23833021687568</v>
      </c>
      <c r="J46" s="40" t="n">
        <v>-1.19123376790581</v>
      </c>
      <c r="K46" s="40" t="n">
        <v>-1.06939514881323</v>
      </c>
      <c r="L46" s="40" t="n">
        <v>-1.01116961726581</v>
      </c>
      <c r="M46" s="40" t="n">
        <v>-1.047383335142</v>
      </c>
      <c r="N46" s="40" t="n">
        <v>-1.15791639218516</v>
      </c>
      <c r="O46" s="40" t="n">
        <v>-1.24778241775195</v>
      </c>
      <c r="P46" s="40" t="n">
        <v>-1.17978625351817</v>
      </c>
      <c r="Q46" s="40" t="n">
        <v>-1.10943776412186</v>
      </c>
      <c r="R46" s="40" t="n">
        <v>-0.997910971254247</v>
      </c>
      <c r="S46" s="47"/>
      <c r="T46" s="10"/>
      <c r="U46" s="10"/>
      <c r="V46" s="10"/>
      <c r="W46" s="28"/>
      <c r="X46" s="10"/>
      <c r="Y46" s="10"/>
      <c r="Z46" s="10"/>
      <c r="AA46" s="10"/>
      <c r="AB46" s="6"/>
      <c r="AC46" s="6"/>
    </row>
    <row r="47" customFormat="false" ht="15.75" hidden="false" customHeight="false" outlineLevel="0" collapsed="false">
      <c r="A47" s="6"/>
      <c r="B47" s="30"/>
      <c r="C47" s="30"/>
      <c r="D47" s="40" t="n">
        <v>-1.10667112801513</v>
      </c>
      <c r="E47" s="40" t="n">
        <v>-1.2578910457811</v>
      </c>
      <c r="F47" s="30"/>
      <c r="G47" s="40" t="n">
        <v>-1.12691504354505</v>
      </c>
      <c r="H47" s="40" t="n">
        <v>-1.17547065174993</v>
      </c>
      <c r="I47" s="40" t="n">
        <v>-1.23725897050379</v>
      </c>
      <c r="J47" s="40" t="n">
        <v>-1.15964041747908</v>
      </c>
      <c r="K47" s="40" t="n">
        <v>-1.03164739968384</v>
      </c>
      <c r="L47" s="40" t="n">
        <v>-0.924998679306515</v>
      </c>
      <c r="M47" s="30"/>
      <c r="N47" s="30"/>
      <c r="O47" s="30"/>
      <c r="P47" s="30"/>
      <c r="Q47" s="30"/>
      <c r="R47" s="30"/>
      <c r="S47" s="47"/>
      <c r="T47" s="10"/>
      <c r="U47" s="11" t="s">
        <v>13</v>
      </c>
      <c r="V47" s="11"/>
      <c r="W47" s="11"/>
      <c r="X47" s="11"/>
      <c r="Y47" s="11" t="s">
        <v>14</v>
      </c>
      <c r="Z47" s="11"/>
      <c r="AA47" s="10"/>
      <c r="AB47" s="6"/>
      <c r="AC47" s="6"/>
    </row>
    <row r="48" customFormat="false" ht="15.75" hidden="false" customHeight="false" outlineLevel="0" collapsed="false">
      <c r="A48" s="6"/>
      <c r="B48" s="30"/>
      <c r="C48" s="30"/>
      <c r="D48" s="40" t="n">
        <v>-1.18764722594493</v>
      </c>
      <c r="E48" s="40" t="n">
        <v>-1.18257930219258</v>
      </c>
      <c r="F48" s="30"/>
      <c r="G48" s="40" t="n">
        <v>-1.03459085805407</v>
      </c>
      <c r="H48" s="40" t="n">
        <v>-1.24853875913331</v>
      </c>
      <c r="I48" s="40" t="n">
        <v>-1.18341631924145</v>
      </c>
      <c r="J48" s="40" t="n">
        <v>-1.13924809985253</v>
      </c>
      <c r="K48" s="30"/>
      <c r="L48" s="40" t="n">
        <v>-0.851967352077575</v>
      </c>
      <c r="M48" s="30"/>
      <c r="N48" s="30"/>
      <c r="O48" s="30"/>
      <c r="P48" s="30"/>
      <c r="Q48" s="30"/>
      <c r="R48" s="30" t="s">
        <v>31</v>
      </c>
      <c r="S48" s="4"/>
      <c r="T48" s="10"/>
      <c r="U48" s="11" t="s">
        <v>15</v>
      </c>
      <c r="V48" s="11" t="s">
        <v>16</v>
      </c>
      <c r="W48" s="11" t="s">
        <v>17</v>
      </c>
      <c r="X48" s="11" t="s">
        <v>18</v>
      </c>
      <c r="Y48" s="11" t="s">
        <v>19</v>
      </c>
      <c r="Z48" s="12" t="s">
        <v>20</v>
      </c>
      <c r="AA48" s="11" t="s">
        <v>21</v>
      </c>
      <c r="AB48" s="6"/>
      <c r="AC48" s="6"/>
    </row>
    <row r="49" customFormat="false" ht="15.75" hidden="false" customHeight="false" outlineLevel="0" collapsed="false">
      <c r="A49" s="35" t="s">
        <v>22</v>
      </c>
      <c r="B49" s="36" t="n">
        <f aca="false">AVERAGE(B43:B48)</f>
        <v>-1.16474981936656</v>
      </c>
      <c r="C49" s="36" t="n">
        <f aca="false">AVERAGE(C43:C48)</f>
        <v>-1.1348120355782</v>
      </c>
      <c r="D49" s="36" t="n">
        <f aca="false">AVERAGE(D43:D48)</f>
        <v>-1.06301324367373</v>
      </c>
      <c r="E49" s="36" t="n">
        <f aca="false">AVERAGE(E43:E48)</f>
        <v>-1.17378246715667</v>
      </c>
      <c r="F49" s="37"/>
      <c r="G49" s="36" t="n">
        <f aca="false">AVERAGE(G43:G48)</f>
        <v>-1.15500084985239</v>
      </c>
      <c r="H49" s="36" t="n">
        <f aca="false">AVERAGE(H43:H48)</f>
        <v>-1.19794297420816</v>
      </c>
      <c r="I49" s="36" t="n">
        <f aca="false">AVERAGE(I43:I48)</f>
        <v>-1.08515174632014</v>
      </c>
      <c r="J49" s="36" t="n">
        <f aca="false">AVERAGE(J43:J48)</f>
        <v>-1.1853513148749</v>
      </c>
      <c r="K49" s="36" t="n">
        <f aca="false">AVERAGE(K43:K48)</f>
        <v>-1.05962586703535</v>
      </c>
      <c r="L49" s="36" t="n">
        <f aca="false">AVERAGE(L43:L48)</f>
        <v>-0.902289636452426</v>
      </c>
      <c r="M49" s="36" t="n">
        <f aca="false">AVERAGE(M43:M48)</f>
        <v>-1.06252304170922</v>
      </c>
      <c r="N49" s="36" t="n">
        <f aca="false">AVERAGE(N43:N48)</f>
        <v>-1.11233270665699</v>
      </c>
      <c r="O49" s="36" t="n">
        <f aca="false">AVERAGE(O43:O48)</f>
        <v>-1.20264109777185</v>
      </c>
      <c r="P49" s="36" t="n">
        <f aca="false">AVERAGE(P43:P48)</f>
        <v>-1.16760696189102</v>
      </c>
      <c r="Q49" s="36" t="n">
        <f aca="false">AVERAGE(Q43:Q48)</f>
        <v>-1.10065206798473</v>
      </c>
      <c r="R49" s="42" t="n">
        <f aca="false">AVERAGE(R43:R48)</f>
        <v>-0.985115806768981</v>
      </c>
      <c r="S49" s="6"/>
      <c r="T49" s="13" t="s">
        <v>22</v>
      </c>
      <c r="U49" s="43" t="n">
        <f aca="false">(B49)</f>
        <v>-1.16474981936656</v>
      </c>
      <c r="V49" s="43" t="n">
        <f aca="false">(C49)</f>
        <v>-1.1348120355782</v>
      </c>
      <c r="W49" s="43" t="n">
        <f aca="false">(D49)</f>
        <v>-1.06301324367373</v>
      </c>
      <c r="X49" s="43" t="n">
        <f aca="false">(E49)</f>
        <v>-1.17378246715667</v>
      </c>
      <c r="Y49" s="43" t="n">
        <f aca="false">AVERAGE(G49:L49)</f>
        <v>-1.09756039812389</v>
      </c>
      <c r="Z49" s="43" t="n">
        <f aca="false">AVERAGE(M49:R49)</f>
        <v>-1.1051452804638</v>
      </c>
      <c r="AA49" s="43" t="n">
        <f aca="false">AVERAGE(B49:E49,G49:R49)</f>
        <v>-1.10953697733133</v>
      </c>
      <c r="AB49" s="6"/>
      <c r="AC49" s="6"/>
    </row>
    <row r="50" customFormat="false" ht="15.75" hidden="false" customHeight="false" outlineLevel="0" collapsed="false">
      <c r="A50" s="17" t="s">
        <v>23</v>
      </c>
      <c r="B50" s="38" t="n">
        <f aca="false">STDEV(B43:B46)</f>
        <v>0.0907193021575852</v>
      </c>
      <c r="C50" s="38" t="n">
        <f aca="false">STDEV(C43:C46)</f>
        <v>0.0442008156654392</v>
      </c>
      <c r="D50" s="38" t="n">
        <f aca="false">STDEV(D43:D48)</f>
        <v>0.0993416508391167</v>
      </c>
      <c r="E50" s="38" t="n">
        <f aca="false">STDEV(E43:E48)</f>
        <v>0.0611815403146369</v>
      </c>
      <c r="F50" s="38"/>
      <c r="G50" s="38" t="n">
        <f aca="false">STDEV(G43:G48)</f>
        <v>0.082323350725135</v>
      </c>
      <c r="H50" s="38" t="n">
        <f aca="false">STDEV(H43:H48)</f>
        <v>0.0388152771208686</v>
      </c>
      <c r="I50" s="38" t="n">
        <f aca="false">STDEV(I43:I48)</f>
        <v>0.401619529000039</v>
      </c>
      <c r="J50" s="38" t="n">
        <f aca="false">STDEV(J43:J48)</f>
        <v>0.0454847333451122</v>
      </c>
      <c r="K50" s="38" t="n">
        <f aca="false">STDEV(K43:K48)</f>
        <v>0.0196298201868939</v>
      </c>
      <c r="L50" s="38" t="n">
        <f aca="false">STDEV(L43:L48)</f>
        <v>0.314415820278369</v>
      </c>
      <c r="M50" s="38" t="n">
        <f aca="false">STDEV(M43:M46)</f>
        <v>0.0599702532371487</v>
      </c>
      <c r="N50" s="38" t="n">
        <f aca="false">STDEV(N43:N46)</f>
        <v>0.0414949038303482</v>
      </c>
      <c r="O50" s="38" t="n">
        <f aca="false">STDEV(O43:O46)</f>
        <v>0.0360348462897856</v>
      </c>
      <c r="P50" s="38" t="n">
        <f aca="false">STDEV(P43:P46)</f>
        <v>0.0321631831775968</v>
      </c>
      <c r="Q50" s="38" t="n">
        <f aca="false">STDEV(Q43:Q46)</f>
        <v>0.0194128533113562</v>
      </c>
      <c r="R50" s="44" t="n">
        <f aca="false">STDEV(R43:R46)</f>
        <v>0.0170686881350072</v>
      </c>
      <c r="S50" s="4"/>
      <c r="T50" s="13" t="s">
        <v>23</v>
      </c>
      <c r="U50" s="45" t="n">
        <f aca="false">AVERAGE(B50)</f>
        <v>0.0907193021575852</v>
      </c>
      <c r="V50" s="45" t="n">
        <f aca="false">AVERAGE(C50)</f>
        <v>0.0442008156654392</v>
      </c>
      <c r="W50" s="45" t="e">
        <f aca="false">AVERAGE(S37)</f>
        <v>#DIV/0!</v>
      </c>
      <c r="X50" s="45" t="n">
        <f aca="false">(E50)</f>
        <v>0.0611815403146369</v>
      </c>
      <c r="Y50" s="45" t="n">
        <f aca="false">AVERAGE(G50:L50)</f>
        <v>0.15038142177607</v>
      </c>
      <c r="Z50" s="45" t="n">
        <f aca="false">AVERAGE(M50:R50)</f>
        <v>0.0343574546635405</v>
      </c>
      <c r="AA50" s="45" t="e">
        <f aca="false">AVERAGE(S37)</f>
        <v>#DIV/0!</v>
      </c>
      <c r="AB50" s="6"/>
      <c r="AC50" s="6"/>
    </row>
    <row r="51" customFormat="false" ht="15.75" hidden="false" customHeight="false" outlineLevel="0" collapsed="false">
      <c r="A51" s="22" t="s">
        <v>24</v>
      </c>
      <c r="B51" s="23" t="n">
        <f aca="false">ABS(B50/B49)</f>
        <v>0.0778873717335475</v>
      </c>
      <c r="C51" s="23" t="n">
        <f aca="false">ABS(C50/C49)</f>
        <v>0.0389499003180015</v>
      </c>
      <c r="D51" s="23" t="n">
        <f aca="false">ABS(D50/D49)</f>
        <v>0.0934528816365409</v>
      </c>
      <c r="E51" s="23" t="n">
        <f aca="false">ABS(E50/E49)</f>
        <v>0.0521234061902806</v>
      </c>
      <c r="F51" s="24"/>
      <c r="G51" s="23" t="n">
        <f aca="false">ABS(G50/G49)</f>
        <v>0.071275575888672</v>
      </c>
      <c r="H51" s="23" t="n">
        <f aca="false">ABS(H50/H49)</f>
        <v>0.032401606717987</v>
      </c>
      <c r="I51" s="23" t="n">
        <f aca="false">ABS(I50/I49)</f>
        <v>0.37010448572006</v>
      </c>
      <c r="J51" s="23" t="n">
        <f aca="false">ABS(J50/J49)</f>
        <v>0.0383723650316385</v>
      </c>
      <c r="K51" s="23" t="n">
        <f aca="false">ABS(K50/K49)</f>
        <v>0.01852523687612</v>
      </c>
      <c r="L51" s="23" t="n">
        <f aca="false">ABS(L50/L49)</f>
        <v>0.348464403863234</v>
      </c>
      <c r="M51" s="23" t="n">
        <f aca="false">ABS(M50/M49)</f>
        <v>0.0564413672767773</v>
      </c>
      <c r="N51" s="23" t="n">
        <f aca="false">ABS(N50/N49)</f>
        <v>0.0373043996477071</v>
      </c>
      <c r="O51" s="23" t="n">
        <f aca="false">ABS(O50/O49)</f>
        <v>0.0299630923610941</v>
      </c>
      <c r="P51" s="23" t="n">
        <f aca="false">ABS(P50/P49)</f>
        <v>0.0275462413529175</v>
      </c>
      <c r="Q51" s="23" t="n">
        <f aca="false">ABS(Q50/Q49)</f>
        <v>0.0176375930923391</v>
      </c>
      <c r="R51" s="23" t="n">
        <f aca="false">ABS(R50/R49)</f>
        <v>0.017326580304289</v>
      </c>
      <c r="S51" s="47"/>
      <c r="T51" s="26" t="s">
        <v>24</v>
      </c>
      <c r="U51" s="27" t="n">
        <f aca="false">AVERAGE(B51)</f>
        <v>0.0778873717335475</v>
      </c>
      <c r="V51" s="27" t="n">
        <f aca="false">AVERAGE(C51)</f>
        <v>0.0389499003180015</v>
      </c>
      <c r="W51" s="27" t="e">
        <f aca="false">AVERAGE(S38)</f>
        <v>#DIV/0!</v>
      </c>
      <c r="X51" s="27" t="n">
        <f aca="false">(E51)</f>
        <v>0.0521234061902806</v>
      </c>
      <c r="Y51" s="27" t="n">
        <f aca="false">AVERAGE(G51:L51)</f>
        <v>0.146523945682952</v>
      </c>
      <c r="Z51" s="27" t="n">
        <f aca="false">AVERAGE(M51:R51)</f>
        <v>0.0310365456725207</v>
      </c>
      <c r="AA51" s="27" t="e">
        <f aca="false">AVERAGE(S38)</f>
        <v>#DIV/0!</v>
      </c>
      <c r="AB51" s="6"/>
      <c r="AC51" s="6"/>
    </row>
    <row r="52" customFormat="false" ht="15.75" hidden="false" customHeight="false" outlineLevel="0" collapsed="false">
      <c r="S52" s="47"/>
      <c r="T52" s="10"/>
      <c r="U52" s="10"/>
      <c r="V52" s="10"/>
      <c r="W52" s="10"/>
      <c r="X52" s="10"/>
      <c r="Y52" s="10"/>
      <c r="Z52" s="10"/>
      <c r="AA52" s="10"/>
      <c r="AB52" s="6"/>
      <c r="AC52" s="6"/>
    </row>
    <row r="53" customFormat="false" ht="19.7" hidden="false" customHeight="false" outlineLevel="0" collapsed="false">
      <c r="A53" s="1" t="s">
        <v>32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.75" hidden="false" customHeight="false" outlineLevel="0" collapsed="false">
      <c r="A54" s="2"/>
      <c r="B54" s="3" t="s">
        <v>1</v>
      </c>
      <c r="C54" s="3" t="s">
        <v>2</v>
      </c>
      <c r="D54" s="3" t="s">
        <v>3</v>
      </c>
      <c r="E54" s="3" t="s">
        <v>4</v>
      </c>
      <c r="F54" s="4"/>
      <c r="G54" s="5" t="s">
        <v>5</v>
      </c>
      <c r="H54" s="5"/>
      <c r="I54" s="5"/>
      <c r="J54" s="5"/>
      <c r="K54" s="5"/>
      <c r="L54" s="5"/>
      <c r="M54" s="5" t="s">
        <v>6</v>
      </c>
      <c r="N54" s="5"/>
      <c r="O54" s="5"/>
      <c r="P54" s="5"/>
      <c r="Q54" s="5"/>
      <c r="R54" s="5"/>
    </row>
    <row r="55" customFormat="false" ht="15.75" hidden="false" customHeight="false" outlineLevel="0" collapsed="false">
      <c r="A55" s="6"/>
      <c r="B55" s="3"/>
      <c r="C55" s="3"/>
      <c r="D55" s="3"/>
      <c r="E55" s="3"/>
      <c r="F55" s="6"/>
      <c r="G55" s="4" t="s">
        <v>7</v>
      </c>
      <c r="H55" s="4" t="s">
        <v>8</v>
      </c>
      <c r="I55" s="7" t="s">
        <v>9</v>
      </c>
      <c r="J55" s="7" t="s">
        <v>10</v>
      </c>
      <c r="K55" s="7" t="s">
        <v>11</v>
      </c>
      <c r="L55" s="4" t="s">
        <v>12</v>
      </c>
      <c r="M55" s="4" t="s">
        <v>7</v>
      </c>
      <c r="N55" s="4" t="s">
        <v>8</v>
      </c>
      <c r="O55" s="7" t="s">
        <v>9</v>
      </c>
      <c r="P55" s="7" t="s">
        <v>10</v>
      </c>
      <c r="Q55" s="7" t="s">
        <v>11</v>
      </c>
      <c r="R55" s="4" t="s">
        <v>12</v>
      </c>
    </row>
    <row r="56" customFormat="false" ht="15.75" hidden="false" customHeight="false" outlineLevel="0" collapsed="false">
      <c r="B56" s="9" t="n">
        <v>0.631988888962948</v>
      </c>
      <c r="C56" s="9" t="n">
        <v>0.575970755463496</v>
      </c>
      <c r="D56" s="9" t="n">
        <v>1.25335165110835</v>
      </c>
      <c r="E56" s="9" t="n">
        <v>1.16558153479078</v>
      </c>
      <c r="F56" s="33"/>
      <c r="G56" s="9" t="n">
        <v>0.934112077763354</v>
      </c>
      <c r="H56" s="9" t="n">
        <v>0.87556667338735</v>
      </c>
      <c r="I56" s="9" t="n">
        <v>1.45084671087803</v>
      </c>
      <c r="J56" s="9" t="n">
        <v>1.34122132061556</v>
      </c>
      <c r="K56" s="9" t="n">
        <v>1.17650770094843</v>
      </c>
      <c r="L56" s="9" t="n">
        <v>1.33543528226145</v>
      </c>
      <c r="M56" s="9" t="n">
        <v>4.22611170552326</v>
      </c>
      <c r="N56" s="9" t="n">
        <v>5.48288712364223</v>
      </c>
      <c r="O56" s="9" t="n">
        <v>1.5360146365416</v>
      </c>
      <c r="P56" s="9" t="n">
        <v>2.81427614498398</v>
      </c>
      <c r="Q56" s="9" t="n">
        <v>1.13107774967408</v>
      </c>
      <c r="R56" s="9" t="n">
        <v>2.5014574062639</v>
      </c>
    </row>
    <row r="57" customFormat="false" ht="15.75" hidden="false" customHeight="false" outlineLevel="0" collapsed="false">
      <c r="B57" s="9" t="n">
        <v>0.695453412206552</v>
      </c>
      <c r="C57" s="9" t="n">
        <v>0.812528323392797</v>
      </c>
      <c r="D57" s="9" t="n">
        <v>2.0697313896263</v>
      </c>
      <c r="E57" s="9" t="n">
        <v>4.35025999357603</v>
      </c>
      <c r="F57" s="33"/>
      <c r="G57" s="9" t="n">
        <v>0.530499098379348</v>
      </c>
      <c r="H57" s="9" t="n">
        <v>1.05383020948507</v>
      </c>
      <c r="I57" s="9" t="n">
        <v>0.950832318743804</v>
      </c>
      <c r="J57" s="9" t="n">
        <v>4.3586584783916</v>
      </c>
      <c r="K57" s="9" t="n">
        <v>0.929680091292142</v>
      </c>
      <c r="L57" s="9" t="n">
        <v>0.559577415122012</v>
      </c>
      <c r="M57" s="9" t="n">
        <v>1.08435977147566</v>
      </c>
      <c r="N57" s="9" t="n">
        <v>1.52347078188278</v>
      </c>
      <c r="O57" s="9" t="n">
        <v>1.73194405769513</v>
      </c>
      <c r="P57" s="9" t="n">
        <v>1.75221859162765</v>
      </c>
      <c r="Q57" s="9" t="n">
        <v>1.13749671279672</v>
      </c>
      <c r="R57" s="9" t="n">
        <v>1.68404611550248</v>
      </c>
    </row>
    <row r="58" customFormat="false" ht="15.75" hidden="false" customHeight="false" outlineLevel="0" collapsed="false">
      <c r="A58" s="6"/>
      <c r="B58" s="9" t="n">
        <v>0.852148240004338</v>
      </c>
      <c r="C58" s="9" t="n">
        <v>0.864696520822386</v>
      </c>
      <c r="D58" s="9" t="n">
        <v>1.96007317610245</v>
      </c>
      <c r="E58" s="9" t="n">
        <v>3.00365431891898</v>
      </c>
      <c r="F58" s="33"/>
      <c r="G58" s="9" t="n">
        <v>6.56509204603257</v>
      </c>
      <c r="H58" s="9" t="n">
        <v>1.57665841493094</v>
      </c>
      <c r="I58" s="9" t="n">
        <v>1.52950259089204</v>
      </c>
      <c r="J58" s="9" t="n">
        <v>2.31176934534511</v>
      </c>
      <c r="K58" s="9" t="n">
        <v>2.19343163224719</v>
      </c>
      <c r="L58" s="9" t="n">
        <v>5.52302060041529</v>
      </c>
      <c r="M58" s="9" t="n">
        <v>1.23976809387391</v>
      </c>
      <c r="N58" s="9" t="n">
        <v>0.859166278816113</v>
      </c>
      <c r="O58" s="9" t="n">
        <v>1.06834914575985</v>
      </c>
      <c r="P58" s="9" t="n">
        <v>1.14844008877663</v>
      </c>
      <c r="Q58" s="9" t="n">
        <v>0.855144974391903</v>
      </c>
      <c r="R58" s="9" t="n">
        <v>3.12452780710516</v>
      </c>
    </row>
    <row r="59" customFormat="false" ht="15.75" hidden="false" customHeight="false" outlineLevel="0" collapsed="false">
      <c r="A59" s="6"/>
      <c r="B59" s="9" t="n">
        <v>2.42494594289061</v>
      </c>
      <c r="C59" s="9" t="n">
        <v>1.44903234586615</v>
      </c>
      <c r="D59" s="9" t="n">
        <v>4.61581089941704</v>
      </c>
      <c r="E59" s="9" t="n">
        <v>1.85309864290929</v>
      </c>
      <c r="F59" s="49"/>
      <c r="G59" s="9" t="n">
        <v>1.00196296866581</v>
      </c>
      <c r="H59" s="9" t="n">
        <v>1.55055933950982</v>
      </c>
      <c r="I59" s="9" t="n">
        <v>2.11527874120466</v>
      </c>
      <c r="J59" s="9" t="n">
        <v>2.29116105725885</v>
      </c>
      <c r="K59" s="9" t="n">
        <v>0.950660879231437</v>
      </c>
      <c r="L59" s="9" t="n">
        <v>1.76318724660485</v>
      </c>
      <c r="M59" s="9" t="n">
        <v>0.86324308924066</v>
      </c>
      <c r="N59" s="9" t="n">
        <v>0.850018480305769</v>
      </c>
      <c r="O59" s="9" t="n">
        <v>1.00053326934216</v>
      </c>
      <c r="P59" s="9" t="n">
        <v>1.17025645632938</v>
      </c>
      <c r="Q59" s="9" t="n">
        <v>1.28313113589639</v>
      </c>
      <c r="R59" s="9" t="n">
        <v>2.68374305597847</v>
      </c>
    </row>
    <row r="60" customFormat="false" ht="15.75" hidden="false" customHeight="false" outlineLevel="0" collapsed="false">
      <c r="A60" s="2"/>
      <c r="B60" s="33"/>
      <c r="C60" s="33"/>
      <c r="D60" s="9" t="n">
        <v>1.65434423585132</v>
      </c>
      <c r="E60" s="9" t="n">
        <v>2.22960432921855</v>
      </c>
      <c r="F60" s="33"/>
      <c r="G60" s="9" t="n">
        <v>3.11967859964724</v>
      </c>
      <c r="H60" s="9" t="n">
        <v>3.55761960536654</v>
      </c>
      <c r="I60" s="9" t="n">
        <v>4.13505543693984</v>
      </c>
      <c r="J60" s="9" t="n">
        <v>1.79474472169289</v>
      </c>
      <c r="K60" s="9" t="n">
        <v>0.833561355550175</v>
      </c>
      <c r="L60" s="9" t="n">
        <v>3.99801771422869</v>
      </c>
      <c r="M60" s="33"/>
      <c r="N60" s="33"/>
      <c r="O60" s="33"/>
      <c r="P60" s="33"/>
      <c r="Q60" s="33"/>
      <c r="R60" s="33"/>
    </row>
    <row r="61" customFormat="false" ht="15.75" hidden="false" customHeight="false" outlineLevel="0" collapsed="false">
      <c r="A61" s="6"/>
      <c r="B61" s="33"/>
      <c r="C61" s="33"/>
      <c r="D61" s="9" t="n">
        <v>1.87337232498127</v>
      </c>
      <c r="E61" s="9" t="n">
        <v>2.22439484135245</v>
      </c>
      <c r="F61" s="49"/>
      <c r="G61" s="9" t="n">
        <v>3.11203272474454</v>
      </c>
      <c r="H61" s="9" t="n">
        <v>2.37491486350752</v>
      </c>
      <c r="I61" s="9" t="n">
        <v>4.10546776326858</v>
      </c>
      <c r="J61" s="9" t="n">
        <v>1.57081666397562</v>
      </c>
      <c r="K61" s="33"/>
      <c r="L61" s="9" t="n">
        <v>8.95547095598085</v>
      </c>
      <c r="M61" s="33"/>
      <c r="N61" s="33"/>
      <c r="O61" s="33"/>
      <c r="P61" s="33"/>
      <c r="Q61" s="33"/>
      <c r="R61" s="33"/>
    </row>
    <row r="62" customFormat="false" ht="15.75" hidden="false" customHeight="false" outlineLevel="0" collapsed="false">
      <c r="A62" s="35" t="s">
        <v>22</v>
      </c>
      <c r="B62" s="50" t="n">
        <f aca="false">AVERAGE(B56:B61)</f>
        <v>1.15113412101611</v>
      </c>
      <c r="C62" s="50" t="n">
        <f aca="false">AVERAGE(C56:C61)</f>
        <v>0.925556986386207</v>
      </c>
      <c r="D62" s="50" t="n">
        <f aca="false">AVERAGE(D56:D61)</f>
        <v>2.23778061284779</v>
      </c>
      <c r="E62" s="50" t="n">
        <f aca="false">AVERAGE(E56:E61)</f>
        <v>2.47109894346101</v>
      </c>
      <c r="F62" s="51"/>
      <c r="G62" s="50" t="n">
        <f aca="false">AVERAGE(G56:G61)</f>
        <v>2.54389625253881</v>
      </c>
      <c r="H62" s="50" t="n">
        <f aca="false">AVERAGE(H56:H61)</f>
        <v>1.83152485103121</v>
      </c>
      <c r="I62" s="50" t="n">
        <f aca="false">AVERAGE(I56:I61)</f>
        <v>2.38116392698783</v>
      </c>
      <c r="J62" s="50" t="n">
        <f aca="false">AVERAGE(J56:J61)</f>
        <v>2.27806193121327</v>
      </c>
      <c r="K62" s="50" t="n">
        <f aca="false">AVERAGE(K56:K61)</f>
        <v>1.21676833185387</v>
      </c>
      <c r="L62" s="50" t="n">
        <f aca="false">AVERAGE(L56:L61)</f>
        <v>3.68911820243552</v>
      </c>
      <c r="M62" s="50" t="n">
        <f aca="false">AVERAGE(M56:M61)</f>
        <v>1.85337066502837</v>
      </c>
      <c r="N62" s="50" t="n">
        <f aca="false">AVERAGE(N56:N61)</f>
        <v>2.17888566616172</v>
      </c>
      <c r="O62" s="50" t="n">
        <f aca="false">AVERAGE(O56:O61)</f>
        <v>1.33421027733469</v>
      </c>
      <c r="P62" s="50" t="n">
        <f aca="false">AVERAGE(P56:P61)</f>
        <v>1.72129782042941</v>
      </c>
      <c r="Q62" s="50" t="n">
        <f aca="false">AVERAGE(Q56:Q61)</f>
        <v>1.10171264318977</v>
      </c>
      <c r="R62" s="52" t="n">
        <f aca="false">AVERAGE(R56:R61)</f>
        <v>2.4984435962125</v>
      </c>
    </row>
    <row r="63" customFormat="false" ht="15.75" hidden="false" customHeight="false" outlineLevel="0" collapsed="false">
      <c r="A63" s="17" t="s">
        <v>23</v>
      </c>
      <c r="B63" s="14" t="n">
        <f aca="false">STDEV(B56:B59)</f>
        <v>0.854233729712646</v>
      </c>
      <c r="C63" s="14" t="n">
        <f aca="false">STDEV(C56:C59)</f>
        <v>0.370907203021693</v>
      </c>
      <c r="D63" s="14" t="n">
        <f aca="false">STDEV(D56:D61)</f>
        <v>1.20022346191612</v>
      </c>
      <c r="E63" s="14" t="n">
        <f aca="false">STDEV(E56:E61)</f>
        <v>1.09730069887218</v>
      </c>
      <c r="F63" s="14"/>
      <c r="G63" s="14" t="n">
        <f aca="false">STDEV(G56:G61)</f>
        <v>2.27363371779864</v>
      </c>
      <c r="H63" s="14" t="n">
        <f aca="false">STDEV(H56:H61)</f>
        <v>0.993704112742986</v>
      </c>
      <c r="I63" s="14" t="n">
        <f aca="false">STDEV(I56:I61)</f>
        <v>1.39690513235838</v>
      </c>
      <c r="J63" s="14" t="n">
        <f aca="false">STDEV(J56:J61)</f>
        <v>1.09010563632289</v>
      </c>
      <c r="K63" s="14" t="n">
        <f aca="false">STDEV(K56:K61)</f>
        <v>0.560261666909741</v>
      </c>
      <c r="L63" s="14" t="n">
        <f aca="false">STDEV(L56:L61)</f>
        <v>3.16973649104405</v>
      </c>
      <c r="M63" s="14" t="n">
        <f aca="false">STDEV(M56:M59)</f>
        <v>1.58935401251726</v>
      </c>
      <c r="N63" s="14" t="n">
        <f aca="false">STDEV(N56:N59)</f>
        <v>2.22512483249429</v>
      </c>
      <c r="O63" s="14" t="n">
        <f aca="false">STDEV(O56:O59)</f>
        <v>0.356342366449187</v>
      </c>
      <c r="P63" s="14" t="n">
        <f aca="false">STDEV(P56:P59)</f>
        <v>0.780463596781041</v>
      </c>
      <c r="Q63" s="14" t="n">
        <f aca="false">STDEV(Q56:Q59)</f>
        <v>0.178746649300834</v>
      </c>
      <c r="R63" s="15" t="n">
        <f aca="false">STDEV(R56:R59)</f>
        <v>0.602652378671845</v>
      </c>
    </row>
    <row r="64" customFormat="false" ht="15.75" hidden="false" customHeight="false" outlineLevel="0" collapsed="false">
      <c r="A64" s="22" t="s">
        <v>24</v>
      </c>
      <c r="B64" s="23" t="n">
        <f aca="false">ABS(B63/B62)</f>
        <v>0.742080105277923</v>
      </c>
      <c r="C64" s="23" t="n">
        <f aca="false">ABS(C63/C62)</f>
        <v>0.400739455784221</v>
      </c>
      <c r="D64" s="23" t="n">
        <f aca="false">ABS(D63/D62)</f>
        <v>0.53634545541474</v>
      </c>
      <c r="E64" s="23" t="n">
        <f aca="false">ABS(E63/E62)</f>
        <v>0.444053728312193</v>
      </c>
      <c r="F64" s="24"/>
      <c r="G64" s="23" t="n">
        <f aca="false">ABS(G63/G62)</f>
        <v>0.893760394328011</v>
      </c>
      <c r="H64" s="23" t="n">
        <f aca="false">ABS(H63/H62)</f>
        <v>0.542555626358823</v>
      </c>
      <c r="I64" s="23" t="n">
        <f aca="false">ABS(I63/I62)</f>
        <v>0.586648032303036</v>
      </c>
      <c r="J64" s="23" t="n">
        <f aca="false">ABS(J63/J62)</f>
        <v>0.478523266372445</v>
      </c>
      <c r="K64" s="23" t="n">
        <f aca="false">ABS(K63/K62)</f>
        <v>0.460450565849395</v>
      </c>
      <c r="L64" s="23" t="n">
        <f aca="false">ABS(L63/L62)</f>
        <v>0.859212504752876</v>
      </c>
      <c r="M64" s="23" t="n">
        <f aca="false">ABS(M63/M62)</f>
        <v>0.857547841080633</v>
      </c>
      <c r="N64" s="23" t="n">
        <f aca="false">ABS(N63/N62)</f>
        <v>1.02122147437595</v>
      </c>
      <c r="O64" s="23" t="n">
        <f aca="false">ABS(O63/O62)</f>
        <v>0.267081113451653</v>
      </c>
      <c r="P64" s="23" t="n">
        <f aca="false">ABS(P63/P62)</f>
        <v>0.453415781695663</v>
      </c>
      <c r="Q64" s="23" t="n">
        <f aca="false">ABS(Q63/Q62)</f>
        <v>0.16224434783948</v>
      </c>
      <c r="R64" s="23" t="n">
        <f aca="false">ABS(R63/R62)</f>
        <v>0.241211120229182</v>
      </c>
    </row>
    <row r="66" customFormat="false" ht="19.7" hidden="false" customHeight="false" outlineLevel="0" collapsed="false">
      <c r="A66" s="1" t="s">
        <v>33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6"/>
      <c r="T66" s="48"/>
      <c r="U66" s="48"/>
      <c r="V66" s="48"/>
      <c r="W66" s="48"/>
      <c r="X66" s="10"/>
      <c r="Y66" s="10"/>
      <c r="Z66" s="10"/>
      <c r="AA66" s="10"/>
      <c r="AB66" s="6"/>
      <c r="AC66" s="6"/>
    </row>
    <row r="67" customFormat="false" ht="15.75" hidden="false" customHeight="false" outlineLevel="0" collapsed="false">
      <c r="A67" s="6"/>
      <c r="B67" s="3" t="s">
        <v>1</v>
      </c>
      <c r="C67" s="3" t="s">
        <v>2</v>
      </c>
      <c r="D67" s="3" t="s">
        <v>3</v>
      </c>
      <c r="E67" s="3" t="s">
        <v>4</v>
      </c>
      <c r="F67" s="2"/>
      <c r="G67" s="5" t="s">
        <v>5</v>
      </c>
      <c r="H67" s="5"/>
      <c r="I67" s="5"/>
      <c r="J67" s="5"/>
      <c r="K67" s="5"/>
      <c r="L67" s="5"/>
      <c r="M67" s="5" t="s">
        <v>6</v>
      </c>
      <c r="N67" s="5"/>
      <c r="O67" s="5"/>
      <c r="P67" s="5"/>
      <c r="Q67" s="5"/>
      <c r="R67" s="5"/>
      <c r="S67" s="6"/>
      <c r="T67" s="10"/>
      <c r="U67" s="10" t="s">
        <v>34</v>
      </c>
      <c r="V67" s="10"/>
      <c r="W67" s="10"/>
      <c r="X67" s="10"/>
      <c r="Y67" s="10"/>
      <c r="Z67" s="10"/>
      <c r="AA67" s="10"/>
      <c r="AB67" s="6"/>
      <c r="AC67" s="6"/>
    </row>
    <row r="68" customFormat="false" ht="15.75" hidden="false" customHeight="false" outlineLevel="0" collapsed="false">
      <c r="A68" s="6"/>
      <c r="B68" s="3"/>
      <c r="C68" s="3"/>
      <c r="D68" s="3"/>
      <c r="E68" s="3"/>
      <c r="F68" s="2"/>
      <c r="G68" s="4" t="s">
        <v>7</v>
      </c>
      <c r="H68" s="4" t="s">
        <v>8</v>
      </c>
      <c r="I68" s="7" t="s">
        <v>9</v>
      </c>
      <c r="J68" s="7" t="s">
        <v>10</v>
      </c>
      <c r="K68" s="7" t="s">
        <v>11</v>
      </c>
      <c r="L68" s="4" t="s">
        <v>12</v>
      </c>
      <c r="M68" s="4" t="s">
        <v>7</v>
      </c>
      <c r="N68" s="4" t="s">
        <v>8</v>
      </c>
      <c r="O68" s="7" t="s">
        <v>9</v>
      </c>
      <c r="P68" s="7" t="s">
        <v>10</v>
      </c>
      <c r="Q68" s="7" t="s">
        <v>11</v>
      </c>
      <c r="R68" s="4" t="s">
        <v>12</v>
      </c>
      <c r="S68" s="4"/>
      <c r="T68" s="10"/>
      <c r="U68" s="10"/>
      <c r="V68" s="10"/>
      <c r="W68" s="10"/>
      <c r="X68" s="10"/>
      <c r="Y68" s="10"/>
      <c r="Z68" s="10"/>
      <c r="AA68" s="10"/>
      <c r="AB68" s="6"/>
      <c r="AC68" s="6"/>
    </row>
    <row r="69" customFormat="false" ht="15.75" hidden="false" customHeight="false" outlineLevel="0" collapsed="false">
      <c r="A69" s="48"/>
      <c r="B69" s="53" t="n">
        <v>0.101158401915277</v>
      </c>
      <c r="C69" s="53" t="n">
        <v>0.0424557283396032</v>
      </c>
      <c r="D69" s="53" t="n">
        <v>0.0177979543685422</v>
      </c>
      <c r="E69" s="53" t="n">
        <v>0.0142783829749427</v>
      </c>
      <c r="F69" s="30"/>
      <c r="G69" s="53" t="n">
        <v>0.165412096842039</v>
      </c>
      <c r="H69" s="53" t="n">
        <v>0.0970582330176752</v>
      </c>
      <c r="I69" s="53" t="n">
        <v>0.0803755448960115</v>
      </c>
      <c r="J69" s="53" t="n">
        <v>0.0477692939336669</v>
      </c>
      <c r="K69" s="53" t="n">
        <v>0.0224961938440499</v>
      </c>
      <c r="L69" s="53" t="n">
        <v>0.348946773956152</v>
      </c>
      <c r="M69" s="53" t="n">
        <v>0.0574376035183235</v>
      </c>
      <c r="N69" s="53" t="n">
        <v>0.108967392255882</v>
      </c>
      <c r="O69" s="53" t="n">
        <v>0.028342307875261</v>
      </c>
      <c r="P69" s="53" t="n">
        <v>0.0373517610239459</v>
      </c>
      <c r="Q69" s="53" t="n">
        <v>0.0132641672223313</v>
      </c>
      <c r="R69" s="53" t="n">
        <v>0.121983270918865</v>
      </c>
      <c r="S69" s="47"/>
      <c r="T69" s="10"/>
      <c r="U69" s="10"/>
      <c r="V69" s="10"/>
      <c r="W69" s="10"/>
      <c r="X69" s="10"/>
      <c r="Y69" s="10"/>
      <c r="Z69" s="10"/>
      <c r="AA69" s="10"/>
      <c r="AB69" s="6"/>
      <c r="AC69" s="6"/>
    </row>
    <row r="70" customFormat="false" ht="15.75" hidden="false" customHeight="false" outlineLevel="0" collapsed="false">
      <c r="A70" s="48"/>
      <c r="B70" s="53" t="n">
        <v>0.108186313028126</v>
      </c>
      <c r="C70" s="53" t="n">
        <v>0.0473165015512892</v>
      </c>
      <c r="D70" s="53" t="n">
        <v>0.0232044596170389</v>
      </c>
      <c r="E70" s="53" t="n">
        <v>0.0421773650512166</v>
      </c>
      <c r="F70" s="30"/>
      <c r="G70" s="53" t="n">
        <v>0.0246802069030042</v>
      </c>
      <c r="H70" s="53" t="n">
        <v>0.0363093758784016</v>
      </c>
      <c r="I70" s="53" t="n">
        <v>0.0558856598510115</v>
      </c>
      <c r="J70" s="53" t="n">
        <v>0.119381447357821</v>
      </c>
      <c r="K70" s="53" t="n">
        <v>0.0180207987592252</v>
      </c>
      <c r="L70" s="53" t="n">
        <v>0.190898526278204</v>
      </c>
      <c r="M70" s="53" t="n">
        <v>0.0431237678045865</v>
      </c>
      <c r="N70" s="53" t="n">
        <v>0.0401341562416175</v>
      </c>
      <c r="O70" s="53" t="n">
        <v>0.0290835550012632</v>
      </c>
      <c r="P70" s="53" t="n">
        <v>0.0241424268175382</v>
      </c>
      <c r="Q70" s="53" t="n">
        <v>0.0119288953887322</v>
      </c>
      <c r="R70" s="53" t="n">
        <v>0.0213083490206043</v>
      </c>
      <c r="S70" s="47"/>
      <c r="T70" s="10" t="n">
        <f aca="false">MIN(B56:R61)</f>
        <v>0.530499098379348</v>
      </c>
      <c r="U70" s="10"/>
      <c r="V70" s="10"/>
      <c r="W70" s="10"/>
      <c r="X70" s="10"/>
      <c r="Y70" s="10"/>
      <c r="Z70" s="10"/>
      <c r="AA70" s="10"/>
      <c r="AB70" s="6"/>
      <c r="AC70" s="6"/>
    </row>
    <row r="71" customFormat="false" ht="15.75" hidden="false" customHeight="false" outlineLevel="0" collapsed="false">
      <c r="A71" s="10"/>
      <c r="B71" s="53" t="n">
        <v>0.0703429483175658</v>
      </c>
      <c r="C71" s="53" t="n">
        <v>0.0429832681930624</v>
      </c>
      <c r="D71" s="53" t="n">
        <v>0.0255616291790149</v>
      </c>
      <c r="E71" s="53" t="n">
        <v>0.0297115409605951</v>
      </c>
      <c r="F71" s="30"/>
      <c r="G71" s="53" t="n">
        <v>0.0524200346850792</v>
      </c>
      <c r="H71" s="53" t="n">
        <v>0.0590397131087511</v>
      </c>
      <c r="I71" s="53" t="n">
        <v>0.0135319529253229</v>
      </c>
      <c r="J71" s="53" t="n">
        <v>0.0339442391397594</v>
      </c>
      <c r="K71" s="53" t="n">
        <v>0.0262786629809756</v>
      </c>
      <c r="L71" s="53" t="n">
        <v>0.2490932135888</v>
      </c>
      <c r="M71" s="53" t="n">
        <v>0.167213757691415</v>
      </c>
      <c r="N71" s="53" t="n">
        <v>0.0636891836759345</v>
      </c>
      <c r="O71" s="53" t="n">
        <v>0.0429000030231232</v>
      </c>
      <c r="P71" s="53" t="n">
        <v>0.0320673411715751</v>
      </c>
      <c r="Q71" s="53" t="n">
        <v>0.0135909856829423</v>
      </c>
      <c r="R71" s="53" t="n">
        <v>0.0417968841338085</v>
      </c>
      <c r="S71" s="47"/>
      <c r="T71" s="10"/>
      <c r="U71" s="10"/>
      <c r="V71" s="10"/>
      <c r="W71" s="10"/>
      <c r="X71" s="10"/>
      <c r="Y71" s="10"/>
      <c r="Z71" s="10"/>
      <c r="AA71" s="10"/>
      <c r="AB71" s="6"/>
      <c r="AC71" s="6"/>
    </row>
    <row r="72" customFormat="false" ht="15.75" hidden="false" customHeight="false" outlineLevel="0" collapsed="false">
      <c r="A72" s="10"/>
      <c r="B72" s="40" t="n">
        <v>2.46830805736474</v>
      </c>
      <c r="C72" s="53" t="n">
        <v>0.0504031289811364</v>
      </c>
      <c r="D72" s="53" t="n">
        <v>0.0522938888486191</v>
      </c>
      <c r="E72" s="53" t="n">
        <v>0.0175124559740988</v>
      </c>
      <c r="F72" s="54"/>
      <c r="G72" s="53" t="n">
        <v>0.0806264024823877</v>
      </c>
      <c r="H72" s="53" t="n">
        <v>0.0490307320472057</v>
      </c>
      <c r="I72" s="53" t="n">
        <v>0.0144425677746405</v>
      </c>
      <c r="J72" s="53" t="n">
        <v>0.0234112869745498</v>
      </c>
      <c r="K72" s="53" t="n">
        <v>0.0120888071130555</v>
      </c>
      <c r="L72" s="53" t="n">
        <v>0.172074712615339</v>
      </c>
      <c r="M72" s="53" t="n">
        <v>0.135801473922413</v>
      </c>
      <c r="N72" s="53" t="n">
        <v>0.0689029365265293</v>
      </c>
      <c r="O72" s="53" t="n">
        <v>0.0455010776240476</v>
      </c>
      <c r="P72" s="53" t="n">
        <v>0.0324192117064341</v>
      </c>
      <c r="Q72" s="53" t="n">
        <v>0.0220030729536899</v>
      </c>
      <c r="R72" s="53" t="n">
        <v>0.0436655728678161</v>
      </c>
      <c r="S72" s="47"/>
      <c r="T72" s="10"/>
      <c r="U72" s="10"/>
      <c r="V72" s="10"/>
      <c r="W72" s="10"/>
      <c r="X72" s="10"/>
      <c r="Y72" s="10"/>
      <c r="Z72" s="10"/>
      <c r="AA72" s="10"/>
      <c r="AB72" s="6"/>
      <c r="AC72" s="6"/>
    </row>
    <row r="73" customFormat="false" ht="15.75" hidden="false" customHeight="false" outlineLevel="0" collapsed="false">
      <c r="A73" s="10"/>
      <c r="B73" s="30"/>
      <c r="C73" s="30"/>
      <c r="D73" s="53" t="n">
        <v>0.0524478728512097</v>
      </c>
      <c r="E73" s="53" t="n">
        <v>0.0358522237063536</v>
      </c>
      <c r="F73" s="30"/>
      <c r="G73" s="53" t="n">
        <v>0.0532100321606243</v>
      </c>
      <c r="H73" s="53" t="n">
        <v>0.0489767771866955</v>
      </c>
      <c r="I73" s="53" t="n">
        <v>0.0497852906755839</v>
      </c>
      <c r="J73" s="53" t="n">
        <v>0.0180783915843494</v>
      </c>
      <c r="K73" s="53" t="n">
        <v>0.00943203805553001</v>
      </c>
      <c r="L73" s="53" t="n">
        <v>0.0844314655509591</v>
      </c>
      <c r="M73" s="30"/>
      <c r="N73" s="30"/>
      <c r="O73" s="30"/>
      <c r="P73" s="30"/>
      <c r="Q73" s="30"/>
      <c r="R73" s="30"/>
      <c r="S73" s="47"/>
      <c r="T73" s="48"/>
      <c r="U73" s="48"/>
      <c r="V73" s="48"/>
      <c r="W73" s="48"/>
      <c r="X73" s="48"/>
      <c r="Y73" s="48"/>
      <c r="Z73" s="48"/>
      <c r="AA73" s="48"/>
      <c r="AB73" s="6"/>
      <c r="AC73" s="6"/>
    </row>
    <row r="74" customFormat="false" ht="15.75" hidden="false" customHeight="false" outlineLevel="0" collapsed="false">
      <c r="A74" s="10"/>
      <c r="B74" s="30"/>
      <c r="C74" s="30"/>
      <c r="D74" s="53" t="n">
        <v>0.0463613398896674</v>
      </c>
      <c r="E74" s="53" t="n">
        <v>0.0333426209514214</v>
      </c>
      <c r="F74" s="54"/>
      <c r="G74" s="53" t="n">
        <v>0.0627717763065801</v>
      </c>
      <c r="H74" s="53" t="n">
        <v>0.0309887029661548</v>
      </c>
      <c r="I74" s="53" t="n">
        <v>0.0484418210124612</v>
      </c>
      <c r="J74" s="53" t="n">
        <v>0.0188949313258637</v>
      </c>
      <c r="K74" s="30"/>
      <c r="L74" s="53" t="n">
        <v>0.172935934868137</v>
      </c>
      <c r="M74" s="30"/>
      <c r="N74" s="30"/>
      <c r="O74" s="30"/>
      <c r="P74" s="30"/>
      <c r="Q74" s="30"/>
      <c r="R74" s="30"/>
      <c r="S74" s="47"/>
      <c r="T74" s="10"/>
      <c r="U74" s="11" t="s">
        <v>13</v>
      </c>
      <c r="V74" s="11"/>
      <c r="W74" s="11"/>
      <c r="X74" s="11"/>
      <c r="Y74" s="11" t="s">
        <v>14</v>
      </c>
      <c r="Z74" s="11"/>
      <c r="AA74" s="10"/>
      <c r="AB74" s="6"/>
      <c r="AC74" s="6"/>
    </row>
    <row r="75" customFormat="false" ht="15.75" hidden="false" customHeight="false" outlineLevel="0" collapsed="false">
      <c r="A75" s="35" t="s">
        <v>22</v>
      </c>
      <c r="B75" s="36" t="n">
        <f aca="false">AVERAGE(B69:B74)</f>
        <v>0.686998930156427</v>
      </c>
      <c r="C75" s="36" t="n">
        <f aca="false">AVERAGE(C69:C74)</f>
        <v>0.0457896567662728</v>
      </c>
      <c r="D75" s="36" t="n">
        <f aca="false">AVERAGE(D69:D74)</f>
        <v>0.0362778574590154</v>
      </c>
      <c r="E75" s="36" t="n">
        <f aca="false">AVERAGE(E69:E74)</f>
        <v>0.0288124316031047</v>
      </c>
      <c r="F75" s="37"/>
      <c r="G75" s="36" t="n">
        <f aca="false">AVERAGE(G69:G74)</f>
        <v>0.0731867582299524</v>
      </c>
      <c r="H75" s="36" t="n">
        <f aca="false">AVERAGE(H69:H74)</f>
        <v>0.053567255700814</v>
      </c>
      <c r="I75" s="36" t="n">
        <f aca="false">AVERAGE(I69:I74)</f>
        <v>0.0437438061891719</v>
      </c>
      <c r="J75" s="36" t="n">
        <f aca="false">AVERAGE(J69:J74)</f>
        <v>0.043579931719335</v>
      </c>
      <c r="K75" s="36" t="n">
        <f aca="false">AVERAGE(K69:K74)</f>
        <v>0.0176633001505672</v>
      </c>
      <c r="L75" s="36" t="n">
        <f aca="false">AVERAGE(L69:L74)</f>
        <v>0.203063437809598</v>
      </c>
      <c r="M75" s="36" t="n">
        <f aca="false">AVERAGE(M69:M74)</f>
        <v>0.100894150734185</v>
      </c>
      <c r="N75" s="36" t="n">
        <f aca="false">AVERAGE(N69:N74)</f>
        <v>0.0704234171749908</v>
      </c>
      <c r="O75" s="36" t="n">
        <f aca="false">AVERAGE(O69:O74)</f>
        <v>0.0364567358809238</v>
      </c>
      <c r="P75" s="36" t="n">
        <f aca="false">AVERAGE(P69:P74)</f>
        <v>0.0314951851798733</v>
      </c>
      <c r="Q75" s="36" t="n">
        <f aca="false">AVERAGE(Q69:Q74)</f>
        <v>0.0151967803119239</v>
      </c>
      <c r="R75" s="42" t="n">
        <f aca="false">AVERAGE(R69:R74)</f>
        <v>0.0571885192352735</v>
      </c>
      <c r="S75" s="4"/>
      <c r="T75" s="10"/>
      <c r="U75" s="11" t="s">
        <v>15</v>
      </c>
      <c r="V75" s="11" t="s">
        <v>16</v>
      </c>
      <c r="W75" s="11" t="s">
        <v>17</v>
      </c>
      <c r="X75" s="11" t="s">
        <v>18</v>
      </c>
      <c r="Y75" s="11" t="s">
        <v>19</v>
      </c>
      <c r="Z75" s="12" t="s">
        <v>20</v>
      </c>
      <c r="AA75" s="11" t="s">
        <v>21</v>
      </c>
      <c r="AB75" s="6"/>
      <c r="AC75" s="6"/>
    </row>
    <row r="76" customFormat="false" ht="15.75" hidden="false" customHeight="false" outlineLevel="0" collapsed="false">
      <c r="A76" s="17" t="s">
        <v>23</v>
      </c>
      <c r="B76" s="38" t="n">
        <f aca="false">STDEV(B69:B72)</f>
        <v>1.18765314477616</v>
      </c>
      <c r="C76" s="38" t="n">
        <f aca="false">STDEV(C69:C72)</f>
        <v>0.00376856632566691</v>
      </c>
      <c r="D76" s="38" t="n">
        <f aca="false">STDEV(D69:D74)</f>
        <v>0.0157918800343898</v>
      </c>
      <c r="E76" s="38" t="n">
        <f aca="false">STDEV(E69:E74)</f>
        <v>0.0108484021942373</v>
      </c>
      <c r="F76" s="38"/>
      <c r="G76" s="38" t="n">
        <f aca="false">STDEV(G69:G74)</f>
        <v>0.0486878735416798</v>
      </c>
      <c r="H76" s="38" t="n">
        <f aca="false">STDEV(H69:H74)</f>
        <v>0.0235401397509121</v>
      </c>
      <c r="I76" s="38" t="n">
        <f aca="false">STDEV(I69:I74)</f>
        <v>0.025765086529537</v>
      </c>
      <c r="J76" s="38" t="n">
        <f aca="false">STDEV(J69:J74)</f>
        <v>0.0387884496335337</v>
      </c>
      <c r="K76" s="38" t="n">
        <f aca="false">STDEV(K69:K74)</f>
        <v>0.00700959684485746</v>
      </c>
      <c r="L76" s="38" t="n">
        <f aca="false">STDEV(L69:L74)</f>
        <v>0.0888709012677673</v>
      </c>
      <c r="M76" s="38" t="n">
        <f aca="false">STDEV(M69:M72)</f>
        <v>0.0601184944335926</v>
      </c>
      <c r="N76" s="38" t="n">
        <f aca="false">STDEV(N69:N72)</f>
        <v>0.0285816905561847</v>
      </c>
      <c r="O76" s="38" t="n">
        <f aca="false">STDEV(O69:O72)</f>
        <v>0.00900969010150433</v>
      </c>
      <c r="P76" s="38" t="n">
        <f aca="false">STDEV(P69:P72)</f>
        <v>0.00546332388608778</v>
      </c>
      <c r="Q76" s="38" t="n">
        <f aca="false">STDEV(Q69:Q72)</f>
        <v>0.00459413615895714</v>
      </c>
      <c r="R76" s="44" t="n">
        <f aca="false">STDEV(R69:R72)</f>
        <v>0.0443678523630406</v>
      </c>
      <c r="S76" s="6"/>
      <c r="T76" s="13" t="s">
        <v>22</v>
      </c>
      <c r="U76" s="16" t="n">
        <f aca="false">(B62)</f>
        <v>1.15113412101611</v>
      </c>
      <c r="V76" s="16" t="n">
        <f aca="false">(C62)</f>
        <v>0.925556986386207</v>
      </c>
      <c r="W76" s="16" t="n">
        <f aca="false">(D62)</f>
        <v>2.23778061284779</v>
      </c>
      <c r="X76" s="16" t="n">
        <f aca="false">(E62)</f>
        <v>2.47109894346101</v>
      </c>
      <c r="Y76" s="16" t="n">
        <f aca="false">AVERAGE(G62:L62)</f>
        <v>2.32342224934342</v>
      </c>
      <c r="Z76" s="16" t="n">
        <f aca="false">AVERAGE(M62:R62)</f>
        <v>1.78132011139274</v>
      </c>
      <c r="AA76" s="16" t="n">
        <f aca="false">AVERAGE(B62:E62,G62:R62)</f>
        <v>1.96337655175801</v>
      </c>
      <c r="AB76" s="6"/>
      <c r="AC76" s="6"/>
    </row>
    <row r="77" customFormat="false" ht="15.75" hidden="false" customHeight="false" outlineLevel="0" collapsed="false">
      <c r="A77" s="22" t="s">
        <v>24</v>
      </c>
      <c r="B77" s="23" t="n">
        <f aca="false">ABS(B76/B75)</f>
        <v>1.72875545018059</v>
      </c>
      <c r="C77" s="23" t="n">
        <f aca="false">ABS(C76/C75)</f>
        <v>0.0823016941337441</v>
      </c>
      <c r="D77" s="23" t="n">
        <f aca="false">ABS(D76/D75)</f>
        <v>0.43530354713562</v>
      </c>
      <c r="E77" s="23" t="n">
        <f aca="false">ABS(E76/E75)</f>
        <v>0.376518106617155</v>
      </c>
      <c r="F77" s="24"/>
      <c r="G77" s="23" t="n">
        <f aca="false">ABS(G76/G75)</f>
        <v>0.665255228120677</v>
      </c>
      <c r="H77" s="23" t="n">
        <f aca="false">ABS(H76/H75)</f>
        <v>0.439450172366296</v>
      </c>
      <c r="I77" s="23" t="n">
        <f aca="false">ABS(I76/I75)</f>
        <v>0.588999649873055</v>
      </c>
      <c r="J77" s="23" t="n">
        <f aca="false">ABS(J76/J75)</f>
        <v>0.890053015303934</v>
      </c>
      <c r="K77" s="23" t="n">
        <f aca="false">ABS(K76/K75)</f>
        <v>0.396845254573356</v>
      </c>
      <c r="L77" s="23" t="n">
        <f aca="false">ABS(L76/L75)</f>
        <v>0.437650924392882</v>
      </c>
      <c r="M77" s="23" t="n">
        <f aca="false">ABS(M76/M75)</f>
        <v>0.595857083846026</v>
      </c>
      <c r="N77" s="23" t="n">
        <f aca="false">ABS(N76/N75)</f>
        <v>0.405854923017493</v>
      </c>
      <c r="O77" s="23" t="n">
        <f aca="false">ABS(O76/O75)</f>
        <v>0.247133756870941</v>
      </c>
      <c r="P77" s="23" t="n">
        <f aca="false">ABS(P76/P75)</f>
        <v>0.173465367956593</v>
      </c>
      <c r="Q77" s="23" t="n">
        <f aca="false">ABS(Q76/Q75)</f>
        <v>0.302309835679629</v>
      </c>
      <c r="R77" s="23" t="n">
        <f aca="false">ABS(R76/R75)</f>
        <v>0.775817470994682</v>
      </c>
      <c r="S77" s="6"/>
      <c r="T77" s="13" t="s">
        <v>23</v>
      </c>
      <c r="U77" s="55" t="n">
        <f aca="false">AVERAGE(B63)</f>
        <v>0.854233729712646</v>
      </c>
      <c r="V77" s="55" t="n">
        <f aca="false">AVERAGE(C63)</f>
        <v>0.370907203021693</v>
      </c>
      <c r="W77" s="55" t="e">
        <f aca="false">AVERAGE(S91)</f>
        <v>#DIV/0!</v>
      </c>
      <c r="X77" s="55" t="n">
        <f aca="false">(E63)</f>
        <v>1.09730069887218</v>
      </c>
      <c r="Y77" s="55" t="n">
        <f aca="false">AVERAGE(G63:L63)</f>
        <v>1.58072445952945</v>
      </c>
      <c r="Z77" s="55" t="n">
        <f aca="false">AVERAGE(M63:R63)</f>
        <v>0.955447306035743</v>
      </c>
      <c r="AA77" s="55" t="e">
        <f aca="false">AVERAGE(S91)</f>
        <v>#DIV/0!</v>
      </c>
      <c r="AB77" s="6"/>
      <c r="AC77" s="6"/>
    </row>
    <row r="78" customFormat="false" ht="15.75" hidden="false" customHeight="false" outlineLevel="0" collapsed="false">
      <c r="S78" s="6"/>
      <c r="T78" s="26" t="s">
        <v>24</v>
      </c>
      <c r="U78" s="27" t="n">
        <f aca="false">AVERAGE(B64)</f>
        <v>0.742080105277923</v>
      </c>
      <c r="V78" s="27" t="n">
        <f aca="false">AVERAGE(C64)</f>
        <v>0.400739455784221</v>
      </c>
      <c r="W78" s="27" t="e">
        <f aca="false">AVERAGE(S92)</f>
        <v>#DIV/0!</v>
      </c>
      <c r="X78" s="27" t="n">
        <f aca="false">(E64)</f>
        <v>0.444053728312193</v>
      </c>
      <c r="Y78" s="27" t="n">
        <f aca="false">AVERAGE(G64:L64)</f>
        <v>0.636858398327431</v>
      </c>
      <c r="Z78" s="27" t="n">
        <f aca="false">AVERAGE(M64:R64)</f>
        <v>0.500453613112093</v>
      </c>
      <c r="AA78" s="27" t="e">
        <f aca="false">AVERAGE(S92)</f>
        <v>#DIV/0!</v>
      </c>
      <c r="AB78" s="6"/>
      <c r="AC78" s="6"/>
    </row>
    <row r="79" customFormat="false" ht="15.75" hidden="false" customHeight="false" outlineLevel="0" collapsed="false"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customFormat="false" ht="15.75" hidden="false" customHeight="false" outlineLevel="0" collapsed="false">
      <c r="S80" s="47"/>
      <c r="T80" s="10"/>
      <c r="U80" s="10"/>
      <c r="V80" s="10"/>
      <c r="W80" s="10"/>
      <c r="X80" s="10"/>
      <c r="Y80" s="10"/>
      <c r="Z80" s="10"/>
      <c r="AA80" s="10"/>
      <c r="AB80" s="6"/>
      <c r="AC80" s="6"/>
    </row>
    <row r="81" customFormat="false" ht="15.75" hidden="false" customHeight="false" outlineLevel="0" collapsed="false">
      <c r="S81" s="47"/>
      <c r="T81" s="10"/>
      <c r="U81" s="10"/>
      <c r="V81" s="10"/>
      <c r="W81" s="10"/>
      <c r="X81" s="10"/>
      <c r="Y81" s="10"/>
      <c r="Z81" s="10"/>
      <c r="AA81" s="10"/>
      <c r="AB81" s="6"/>
      <c r="AC81" s="6"/>
    </row>
    <row r="82" customFormat="false" ht="15.75" hidden="false" customHeight="false" outlineLevel="0" collapsed="false">
      <c r="S82" s="4"/>
      <c r="T82" s="10"/>
      <c r="U82" s="10"/>
      <c r="V82" s="10"/>
      <c r="W82" s="10"/>
      <c r="X82" s="10"/>
      <c r="Y82" s="10"/>
      <c r="Z82" s="10"/>
      <c r="AA82" s="10"/>
      <c r="AB82" s="6"/>
      <c r="AC82" s="6"/>
    </row>
    <row r="83" customFormat="false" ht="15.75" hidden="false" customHeight="false" outlineLevel="0" collapsed="false">
      <c r="S83" s="6"/>
      <c r="T83" s="10" t="n">
        <f aca="false">MIN(B69:R74)</f>
        <v>0.00943203805553001</v>
      </c>
      <c r="U83" s="10"/>
      <c r="V83" s="10"/>
      <c r="W83" s="10"/>
      <c r="X83" s="10"/>
      <c r="Y83" s="10"/>
      <c r="Z83" s="10"/>
      <c r="AA83" s="10"/>
      <c r="AB83" s="6"/>
      <c r="AC83" s="6"/>
    </row>
    <row r="84" customFormat="false" ht="15.75" hidden="false" customHeight="false" outlineLevel="0" collapsed="false">
      <c r="S84" s="6"/>
      <c r="T84" s="10"/>
      <c r="U84" s="10"/>
      <c r="V84" s="10"/>
      <c r="W84" s="10"/>
      <c r="X84" s="10"/>
      <c r="Y84" s="10"/>
      <c r="Z84" s="10"/>
      <c r="AA84" s="10"/>
      <c r="AB84" s="6"/>
      <c r="AC84" s="6"/>
    </row>
    <row r="85" customFormat="false" ht="15.75" hidden="false" customHeight="false" outlineLevel="0" collapsed="false">
      <c r="S85" s="4"/>
      <c r="T85" s="48"/>
      <c r="U85" s="48"/>
      <c r="V85" s="48"/>
      <c r="W85" s="48"/>
      <c r="X85" s="10"/>
      <c r="Y85" s="10"/>
      <c r="Z85" s="10"/>
      <c r="AA85" s="10"/>
      <c r="AB85" s="6"/>
      <c r="AC85" s="6"/>
    </row>
    <row r="86" customFormat="false" ht="15.75" hidden="false" customHeight="false" outlineLevel="0" collapsed="false">
      <c r="S86" s="47"/>
      <c r="T86" s="10"/>
      <c r="U86" s="10"/>
      <c r="V86" s="10"/>
      <c r="W86" s="10"/>
      <c r="X86" s="10"/>
      <c r="Y86" s="10"/>
      <c r="Z86" s="10"/>
      <c r="AA86" s="10"/>
      <c r="AB86" s="6"/>
      <c r="AC86" s="6"/>
    </row>
    <row r="87" customFormat="false" ht="15.75" hidden="false" customHeight="false" outlineLevel="0" collapsed="false">
      <c r="S87" s="47"/>
      <c r="T87" s="10"/>
      <c r="U87" s="11" t="s">
        <v>13</v>
      </c>
      <c r="V87" s="11"/>
      <c r="W87" s="11"/>
      <c r="X87" s="11"/>
      <c r="Y87" s="11" t="s">
        <v>14</v>
      </c>
      <c r="Z87" s="11"/>
      <c r="AA87" s="10"/>
    </row>
    <row r="88" customFormat="false" ht="15.75" hidden="false" customHeight="false" outlineLevel="0" collapsed="false">
      <c r="S88" s="47"/>
      <c r="T88" s="10"/>
      <c r="U88" s="11" t="s">
        <v>15</v>
      </c>
      <c r="V88" s="11" t="s">
        <v>16</v>
      </c>
      <c r="W88" s="11" t="s">
        <v>17</v>
      </c>
      <c r="X88" s="11" t="s">
        <v>18</v>
      </c>
      <c r="Y88" s="11" t="s">
        <v>19</v>
      </c>
      <c r="Z88" s="12" t="s">
        <v>20</v>
      </c>
      <c r="AA88" s="11" t="s">
        <v>21</v>
      </c>
      <c r="AC88" s="6"/>
    </row>
    <row r="89" customFormat="false" ht="15.75" hidden="false" customHeight="false" outlineLevel="0" collapsed="false">
      <c r="S89" s="47"/>
      <c r="T89" s="13" t="s">
        <v>22</v>
      </c>
      <c r="U89" s="43" t="n">
        <f aca="false">(B75)</f>
        <v>0.686998930156427</v>
      </c>
      <c r="V89" s="43" t="n">
        <f aca="false">(C75)</f>
        <v>0.0457896567662728</v>
      </c>
      <c r="W89" s="43" t="n">
        <f aca="false">(D75)</f>
        <v>0.0362778574590154</v>
      </c>
      <c r="X89" s="43" t="n">
        <f aca="false">(E75)</f>
        <v>0.0288124316031047</v>
      </c>
      <c r="Y89" s="43" t="n">
        <f aca="false">AVERAGE(G75:L75)</f>
        <v>0.0724674149665732</v>
      </c>
      <c r="Z89" s="43" t="n">
        <f aca="false">AVERAGE(M75:R75)</f>
        <v>0.0519424647528616</v>
      </c>
      <c r="AA89" s="43" t="n">
        <f aca="false">AVERAGE(B75:E75,G75:R75)</f>
        <v>0.0965211346438393</v>
      </c>
    </row>
    <row r="90" customFormat="false" ht="15.75" hidden="false" customHeight="false" outlineLevel="0" collapsed="false">
      <c r="S90" s="47"/>
      <c r="T90" s="13" t="s">
        <v>23</v>
      </c>
      <c r="U90" s="45" t="n">
        <f aca="false">AVERAGE(B76)</f>
        <v>1.18765314477616</v>
      </c>
      <c r="V90" s="45" t="n">
        <f aca="false">AVERAGE(C76)</f>
        <v>0.00376856632566691</v>
      </c>
      <c r="W90" s="45" t="e">
        <f aca="false">AVERAGE(S50)</f>
        <v>#DIV/0!</v>
      </c>
      <c r="X90" s="45" t="n">
        <f aca="false">(E76)</f>
        <v>0.0108484021942373</v>
      </c>
      <c r="Y90" s="45" t="n">
        <f aca="false">AVERAGE(G76:L76)</f>
        <v>0.0387770079280479</v>
      </c>
      <c r="Z90" s="45" t="n">
        <f aca="false">AVERAGE(M76:R76)</f>
        <v>0.0253558645832279</v>
      </c>
      <c r="AA90" s="45" t="e">
        <f aca="false">AVERAGE(S50)</f>
        <v>#DIV/0!</v>
      </c>
    </row>
    <row r="91" customFormat="false" ht="15.75" hidden="false" customHeight="false" outlineLevel="0" collapsed="false">
      <c r="S91" s="47"/>
      <c r="T91" s="26" t="s">
        <v>24</v>
      </c>
      <c r="U91" s="27" t="n">
        <f aca="false">AVERAGE(B77)</f>
        <v>1.72875545018059</v>
      </c>
      <c r="V91" s="27" t="n">
        <f aca="false">AVERAGE(C77)</f>
        <v>0.0823016941337441</v>
      </c>
      <c r="W91" s="27" t="e">
        <f aca="false">AVERAGE(S51)</f>
        <v>#DIV/0!</v>
      </c>
      <c r="X91" s="27" t="n">
        <f aca="false">(E77)</f>
        <v>0.376518106617155</v>
      </c>
      <c r="Y91" s="27" t="n">
        <f aca="false">AVERAGE(G77:L77)</f>
        <v>0.5697090407717</v>
      </c>
      <c r="Z91" s="27" t="n">
        <f aca="false">AVERAGE(M77:R77)</f>
        <v>0.416739739727561</v>
      </c>
      <c r="AA91" s="27" t="e">
        <f aca="false">AVERAGE(S51)</f>
        <v>#DIV/0!</v>
      </c>
    </row>
    <row r="92" customFormat="false" ht="15.75" hidden="false" customHeight="false" outlineLevel="0" collapsed="false">
      <c r="D92" s="56"/>
      <c r="E92" s="56"/>
      <c r="S92" s="4"/>
      <c r="T92" s="48"/>
      <c r="U92" s="48"/>
      <c r="V92" s="48"/>
      <c r="W92" s="48"/>
      <c r="X92" s="10"/>
      <c r="Y92" s="10"/>
      <c r="Z92" s="10"/>
      <c r="AA92" s="10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customFormat="false" ht="15.75" hidden="false" customHeight="fals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customFormat="false" ht="15.75" hidden="false" customHeight="fals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customFormat="false" ht="15.75" hidden="false" customHeight="fals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customFormat="false" ht="15.75" hidden="false" customHeight="fals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customFormat="false" ht="15.75" hidden="false" customHeight="fals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customFormat="false" ht="15.75" hidden="false" customHeight="fals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customFormat="false" ht="15.75" hidden="false" customHeight="fals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customFormat="false" ht="15.75" hidden="false" customHeight="fals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customFormat="false" ht="15.75" hidden="false" customHeight="fals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</sheetData>
  <mergeCells count="54">
    <mergeCell ref="A1:R1"/>
    <mergeCell ref="B2:B3"/>
    <mergeCell ref="C2:C3"/>
    <mergeCell ref="D2:D3"/>
    <mergeCell ref="E2:E3"/>
    <mergeCell ref="G2:L2"/>
    <mergeCell ref="M2:R2"/>
    <mergeCell ref="U8:X8"/>
    <mergeCell ref="Y8:Z8"/>
    <mergeCell ref="A14:R14"/>
    <mergeCell ref="B15:B16"/>
    <mergeCell ref="C15:C16"/>
    <mergeCell ref="D15:D16"/>
    <mergeCell ref="E15:E16"/>
    <mergeCell ref="G15:L15"/>
    <mergeCell ref="M15:R15"/>
    <mergeCell ref="U21:X21"/>
    <mergeCell ref="Y21:Z21"/>
    <mergeCell ref="A27:R27"/>
    <mergeCell ref="B28:B29"/>
    <mergeCell ref="C28:C29"/>
    <mergeCell ref="D28:D29"/>
    <mergeCell ref="E28:E29"/>
    <mergeCell ref="G28:L28"/>
    <mergeCell ref="M28:R28"/>
    <mergeCell ref="U34:X34"/>
    <mergeCell ref="Y34:Z34"/>
    <mergeCell ref="A40:R40"/>
    <mergeCell ref="B41:B42"/>
    <mergeCell ref="C41:C42"/>
    <mergeCell ref="D41:D42"/>
    <mergeCell ref="E41:E42"/>
    <mergeCell ref="G41:L41"/>
    <mergeCell ref="M41:R41"/>
    <mergeCell ref="U47:X47"/>
    <mergeCell ref="Y47:Z47"/>
    <mergeCell ref="A53:R53"/>
    <mergeCell ref="B54:B55"/>
    <mergeCell ref="C54:C55"/>
    <mergeCell ref="D54:D55"/>
    <mergeCell ref="E54:E55"/>
    <mergeCell ref="G54:L54"/>
    <mergeCell ref="M54:R54"/>
    <mergeCell ref="A66:R66"/>
    <mergeCell ref="B67:B68"/>
    <mergeCell ref="C67:C68"/>
    <mergeCell ref="D67:D68"/>
    <mergeCell ref="E67:E68"/>
    <mergeCell ref="G67:L67"/>
    <mergeCell ref="M67:R67"/>
    <mergeCell ref="U74:X74"/>
    <mergeCell ref="Y74:Z74"/>
    <mergeCell ref="U87:X87"/>
    <mergeCell ref="Y87:Z8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2026-08-24T17:13:18Z</dcterms:modified>
  <cp:revision>1</cp:revision>
  <dc:subject/>
  <dc:title/>
</cp:coreProperties>
</file>