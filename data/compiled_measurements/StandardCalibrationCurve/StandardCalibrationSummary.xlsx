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ionCur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<sst xmlns="http://schemas.openxmlformats.org/spreadsheetml/2006/main" count="247" uniqueCount="41">
  <si>
    <t xml:space="preserve">MR Ratio ((MaxResistance-MinResistance)*100/MinResistance)</t>
  </si>
  <si>
    <t xml:space="preserve">Block 3</t>
  </si>
  <si>
    <t xml:space="preserve">Block 4</t>
  </si>
  <si>
    <t xml:space="preserve">Block 5</t>
  </si>
  <si>
    <t xml:space="preserve">Block 6</t>
  </si>
  <si>
    <t xml:space="preserve">Block 1</t>
  </si>
  <si>
    <t xml:space="preserve">Block 2</t>
  </si>
  <si>
    <t xml:space="preserve">Sensor A</t>
  </si>
  <si>
    <t xml:space="preserve">Sensor B</t>
  </si>
  <si>
    <t xml:space="preserve">Sensor C</t>
  </si>
  <si>
    <t xml:space="preserve">Sensor D</t>
  </si>
  <si>
    <t xml:space="preserve">Sensor E</t>
  </si>
  <si>
    <t xml:space="preserve">Sensor F</t>
  </si>
  <si>
    <t xml:space="preserve">Hsin Ting's Board (Averaged)</t>
  </si>
  <si>
    <t xml:space="preserve">Peters Board (Averaged)</t>
  </si>
  <si>
    <t xml:space="preserve">B3</t>
  </si>
  <si>
    <t xml:space="preserve">B4</t>
  </si>
  <si>
    <t xml:space="preserve">B5</t>
  </si>
  <si>
    <t xml:space="preserve">B6</t>
  </si>
  <si>
    <t xml:space="preserve">B1</t>
  </si>
  <si>
    <t xml:space="preserve">B2</t>
  </si>
  <si>
    <t xml:space="preserve">Global</t>
  </si>
  <si>
    <t xml:space="preserve">Average</t>
  </si>
  <si>
    <t xml:space="preserve">Avg STD Dev</t>
  </si>
  <si>
    <t xml:space="preserve">Relative Standard deviation</t>
  </si>
  <si>
    <t xml:space="preserve">STD Dev</t>
  </si>
  <si>
    <t xml:space="preserve">Sensitivity ((MaxResistance -MinResistance) / (MaxMagneticField - MinMagneticfield)) Ohms/Gauss</t>
  </si>
  <si>
    <t xml:space="preserve">75.3452</t>
  </si>
  <si>
    <t xml:space="preserve">Min Resistance (Ohms)</t>
  </si>
  <si>
    <t xml:space="preserve">Max Resistance (Ohms)</t>
  </si>
  <si>
    <t xml:space="preserve">Nominal Resistance (Ohms)</t>
  </si>
  <si>
    <t xml:space="preserve">Range or total change (MaxResistance - MinResistance) (Ohms)</t>
  </si>
  <si>
    <t xml:space="preserve">Max Hys Gap (Ohms)</t>
  </si>
  <si>
    <t xml:space="preserve">6.01</t>
  </si>
  <si>
    <t xml:space="preserve">5.09</t>
  </si>
  <si>
    <t xml:space="preserve">91.82</t>
  </si>
  <si>
    <t xml:space="preserve">3.79</t>
  </si>
  <si>
    <t xml:space="preserve">6.88</t>
  </si>
  <si>
    <t xml:space="preserve">28.72</t>
  </si>
  <si>
    <t xml:space="preserve">Purple = Skewed Hysteresis</t>
  </si>
  <si>
    <t xml:space="preserve">Green = Hysteresis in the middle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</si>
</sst>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0%"/>
    <numFmt numFmtId="167" formatCode="###0.000"/>
    <numFmt numFmtId="168" formatCode="###0.000\Ω"/>
    <numFmt numFmtId="169" formatCode="General"/>
    <numFmt numFmtId="170" formatCode="###0.00"/>
    <numFmt numFmtId="171" formatCode="#,##0.0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9EAD3"/>
        <bgColor rgb="FFD9D2E9"/>
      </patternFill>
    </fill>
    <fill>
      <patternFill patternType="solid">
        <fgColor rgb="FFD9D2E9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FF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999999"/>
      </left>
      <right/>
      <top style="medium">
        <color rgb="FF999999"/>
      </top>
      <bottom/>
      <diagonal/>
    </border>
    <border diagonalUp="false" diagonalDown="false"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 diagonalUp="false" diagonalDown="false">
      <left/>
      <right/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999999"/>
      </left>
      <right/>
      <top/>
      <bottom style="medium">
        <color rgb="FF999999"/>
      </bottom>
      <diagonal/>
    </border>
    <border diagonalUp="false" diagonalDown="false">
      <left/>
      <right/>
      <top style="medium">
        <color rgb="FF999999"/>
      </top>
      <bottom/>
      <diagonal/>
    </border>
    <border diagonalUp="false" diagonalDown="false">
      <left/>
      <right style="medium">
        <color rgb="FF999999"/>
      </right>
      <top style="medium">
        <color rgb="FF999999"/>
      </top>
      <bottom/>
      <diagonal/>
    </border>
    <border diagonalUp="false" diagonalDown="false">
      <left/>
      <right/>
      <top/>
      <bottom style="medium">
        <color rgb="FF999999"/>
      </bottom>
      <diagonal/>
    </border>
    <border diagonalUp="false" diagonalDown="false">
      <left/>
      <right style="medium">
        <color rgb="FF999999"/>
      </right>
      <top/>
      <bottom style="medium">
        <color rgb="FF999999"/>
      </bottom>
      <diagonal/>
    </border>
    <border diagonalUp="false" diagonalDown="false"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5" min="2" style="0" width="13.75"/>
    <col collapsed="false" customWidth="true" hidden="false" outlineLevel="0" max="18" min="7" style="0" width="14.7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tru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4"/>
      <c r="G2" s="5" t="s">
        <v>5</v>
      </c>
      <c r="H2" s="5"/>
      <c r="I2" s="5"/>
      <c r="J2" s="5"/>
      <c r="K2" s="5"/>
      <c r="L2" s="5"/>
      <c r="M2" s="5" t="s">
        <v>6</v>
      </c>
      <c r="N2" s="5"/>
      <c r="O2" s="5"/>
      <c r="P2" s="5"/>
      <c r="Q2" s="5"/>
      <c r="R2" s="5"/>
      <c r="S2" s="2"/>
      <c r="T2" s="6"/>
      <c r="U2" s="6"/>
      <c r="V2" s="6"/>
      <c r="W2" s="6"/>
      <c r="X2" s="6"/>
      <c r="Y2" s="6"/>
      <c r="Z2" s="6"/>
      <c r="AA2" s="6"/>
    </row>
    <row r="3" customFormat="false" ht="15.75" hidden="false" customHeight="false" outlineLevel="0" collapsed="false">
      <c r="A3" s="2"/>
      <c r="B3" s="3"/>
      <c r="C3" s="3"/>
      <c r="D3" s="3"/>
      <c r="E3" s="3"/>
      <c r="F3" s="2"/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7</v>
      </c>
      <c r="N3" s="7" t="s">
        <v>8</v>
      </c>
      <c r="O3" s="7" t="s">
        <v>9</v>
      </c>
      <c r="P3" s="7" t="s">
        <v>10</v>
      </c>
      <c r="Q3" s="7" t="s">
        <v>11</v>
      </c>
      <c r="R3" s="7" t="s">
        <v>12</v>
      </c>
      <c r="T3" s="2"/>
      <c r="U3" s="2"/>
      <c r="V3" s="6"/>
      <c r="W3" s="2"/>
      <c r="X3" s="6"/>
      <c r="Y3" s="6"/>
      <c r="Z3" s="6"/>
      <c r="AA3" s="6"/>
    </row>
    <row r="4" customFormat="false" ht="15.75" hidden="false" customHeight="false" outlineLevel="0" collapsed="false">
      <c r="A4" s="2"/>
      <c r="B4" s="8" t="n">
        <v>0.0183</v>
      </c>
      <c r="C4" s="8" t="n">
        <v>0.036016</v>
      </c>
      <c r="D4" s="8" t="n">
        <v>0.123</v>
      </c>
      <c r="E4" s="8" t="n">
        <v>0.18119</v>
      </c>
      <c r="F4" s="9"/>
      <c r="G4" s="10" t="n">
        <v>0.015262</v>
      </c>
      <c r="H4" s="10" t="n">
        <v>0.023269</v>
      </c>
      <c r="I4" s="10" t="n">
        <v>0.043756</v>
      </c>
      <c r="J4" s="10" t="n">
        <v>0.066598</v>
      </c>
      <c r="K4" s="10" t="n">
        <v>0.137106</v>
      </c>
      <c r="L4" s="10" t="n">
        <v>0.010311</v>
      </c>
      <c r="M4" s="10" t="n">
        <v>0.114917</v>
      </c>
      <c r="N4" s="10" t="n">
        <v>0.069512</v>
      </c>
      <c r="O4" s="10" t="n">
        <v>0.08412</v>
      </c>
      <c r="P4" s="10" t="n">
        <v>0.121352</v>
      </c>
      <c r="Q4" s="10" t="n">
        <v>0.183995</v>
      </c>
      <c r="R4" s="10" t="n">
        <v>0.02956</v>
      </c>
      <c r="T4" s="2"/>
      <c r="U4" s="2"/>
      <c r="V4" s="6"/>
      <c r="W4" s="2"/>
      <c r="X4" s="6"/>
      <c r="Y4" s="6"/>
      <c r="Z4" s="6"/>
      <c r="AA4" s="6"/>
    </row>
    <row r="5" customFormat="false" ht="15.75" hidden="false" customHeight="false" outlineLevel="0" collapsed="false">
      <c r="A5" s="2"/>
      <c r="B5" s="8" t="n">
        <v>0.01865</v>
      </c>
      <c r="C5" s="8" t="n">
        <v>0.0423</v>
      </c>
      <c r="D5" s="8" t="n">
        <v>0.1428</v>
      </c>
      <c r="E5" s="8" t="n">
        <v>0.211</v>
      </c>
      <c r="F5" s="9"/>
      <c r="G5" s="10" t="n">
        <v>0.062078</v>
      </c>
      <c r="H5" s="10" t="n">
        <v>0.070482</v>
      </c>
      <c r="I5" s="10" t="n">
        <v>0.041953</v>
      </c>
      <c r="J5" s="10" t="n">
        <v>0.082018</v>
      </c>
      <c r="K5" s="10" t="n">
        <v>0.135888</v>
      </c>
      <c r="L5" s="10" t="n">
        <v>0.00858</v>
      </c>
      <c r="M5" s="10" t="n">
        <v>0.041864</v>
      </c>
      <c r="N5" s="10" t="n">
        <v>0.058318</v>
      </c>
      <c r="O5" s="10" t="n">
        <v>0.090493</v>
      </c>
      <c r="P5" s="10" t="n">
        <v>0.118847</v>
      </c>
      <c r="Q5" s="10" t="n">
        <v>0.202926</v>
      </c>
      <c r="R5" s="10" t="n">
        <v>0.101179</v>
      </c>
      <c r="T5" s="2"/>
      <c r="U5" s="2"/>
      <c r="V5" s="6"/>
      <c r="W5" s="2"/>
      <c r="X5" s="6"/>
      <c r="Y5" s="6"/>
      <c r="Z5" s="6"/>
      <c r="AA5" s="6"/>
    </row>
    <row r="6" customFormat="false" ht="15.75" hidden="false" customHeight="false" outlineLevel="0" collapsed="false">
      <c r="A6" s="2"/>
      <c r="B6" s="8" t="n">
        <v>0.0292</v>
      </c>
      <c r="C6" s="8" t="n">
        <v>0.0589</v>
      </c>
      <c r="D6" s="8" t="n">
        <v>0.1231</v>
      </c>
      <c r="E6" s="8" t="n">
        <v>0.2051</v>
      </c>
      <c r="F6" s="9"/>
      <c r="G6" s="10" t="n">
        <v>0.128729</v>
      </c>
      <c r="H6" s="10" t="n">
        <v>0.046342</v>
      </c>
      <c r="I6" s="10" t="n">
        <v>0.02</v>
      </c>
      <c r="J6" s="10" t="n">
        <v>0.114612</v>
      </c>
      <c r="K6" s="10" t="n">
        <v>0.182048</v>
      </c>
      <c r="L6" s="10" t="n">
        <v>0.034632</v>
      </c>
      <c r="M6" s="10" t="n">
        <v>0.018164</v>
      </c>
      <c r="N6" s="10" t="n">
        <v>0.030462</v>
      </c>
      <c r="O6" s="10" t="n">
        <v>0.053428</v>
      </c>
      <c r="P6" s="10" t="n">
        <v>0.077641</v>
      </c>
      <c r="Q6" s="10" t="n">
        <v>0.152401</v>
      </c>
      <c r="R6" s="10" t="n">
        <v>0.098019</v>
      </c>
      <c r="T6" s="11"/>
      <c r="U6" s="12" t="s">
        <v>13</v>
      </c>
      <c r="V6" s="12"/>
      <c r="W6" s="12"/>
      <c r="X6" s="12"/>
      <c r="Y6" s="12" t="s">
        <v>14</v>
      </c>
      <c r="Z6" s="12"/>
      <c r="AA6" s="11"/>
    </row>
    <row r="7" customFormat="false" ht="15.75" hidden="false" customHeight="false" outlineLevel="0" collapsed="false">
      <c r="A7" s="2"/>
      <c r="B7" s="8" t="n">
        <v>0.0264</v>
      </c>
      <c r="C7" s="8" t="n">
        <v>0.046</v>
      </c>
      <c r="D7" s="8" t="n">
        <v>0.1346</v>
      </c>
      <c r="E7" s="8" t="n">
        <v>0.2115</v>
      </c>
      <c r="F7" s="9"/>
      <c r="G7" s="10" t="n">
        <v>0.025378</v>
      </c>
      <c r="H7" s="10" t="n">
        <v>0.054238</v>
      </c>
      <c r="I7" s="10" t="n">
        <v>0.165332</v>
      </c>
      <c r="J7" s="10" t="n">
        <v>0.155067</v>
      </c>
      <c r="K7" s="10" t="n">
        <v>0.174589</v>
      </c>
      <c r="L7" s="10" t="n">
        <v>0.01961</v>
      </c>
      <c r="M7" s="10" t="n">
        <v>0.016683</v>
      </c>
      <c r="N7" s="10" t="n">
        <v>0.028517</v>
      </c>
      <c r="O7" s="10" t="n">
        <v>0.048854</v>
      </c>
      <c r="P7" s="10" t="n">
        <v>0.077834</v>
      </c>
      <c r="Q7" s="10" t="n">
        <v>0.144846</v>
      </c>
      <c r="R7" s="10" t="n">
        <v>0.088363</v>
      </c>
      <c r="T7" s="11"/>
      <c r="U7" s="12" t="s">
        <v>15</v>
      </c>
      <c r="V7" s="12" t="s">
        <v>16</v>
      </c>
      <c r="W7" s="12" t="s">
        <v>17</v>
      </c>
      <c r="X7" s="12" t="s">
        <v>18</v>
      </c>
      <c r="Y7" s="12" t="s">
        <v>19</v>
      </c>
      <c r="Z7" s="13" t="s">
        <v>20</v>
      </c>
      <c r="AA7" s="12" t="s">
        <v>21</v>
      </c>
    </row>
    <row r="8" customFormat="false" ht="15.75" hidden="false" customHeight="false" outlineLevel="0" collapsed="false">
      <c r="A8" s="2"/>
      <c r="B8" s="8"/>
      <c r="C8" s="8"/>
      <c r="D8" s="8" t="n">
        <v>0.0505</v>
      </c>
      <c r="E8" s="8" t="n">
        <v>0.0918</v>
      </c>
      <c r="F8" s="9"/>
      <c r="G8" s="10" t="n">
        <v>0.065905</v>
      </c>
      <c r="H8" s="10" t="n">
        <v>0.083022</v>
      </c>
      <c r="I8" s="10" t="n">
        <v>0.107883</v>
      </c>
      <c r="J8" s="10" t="n">
        <v>0.144134</v>
      </c>
      <c r="K8" s="10" t="n">
        <v>0.188311</v>
      </c>
      <c r="L8" s="10" t="n">
        <v>0.048537</v>
      </c>
      <c r="M8" s="8"/>
      <c r="N8" s="8"/>
      <c r="O8" s="8"/>
      <c r="P8" s="8"/>
      <c r="Q8" s="8"/>
      <c r="R8" s="8"/>
      <c r="S8" s="2"/>
      <c r="T8" s="14" t="s">
        <v>22</v>
      </c>
      <c r="U8" s="15" t="n">
        <f aca="false">(B8)</f>
        <v>0</v>
      </c>
      <c r="V8" s="15" t="n">
        <f aca="false">(C8)</f>
        <v>0</v>
      </c>
      <c r="W8" s="15" t="n">
        <f aca="false">(D8)</f>
        <v>0.0505</v>
      </c>
      <c r="X8" s="15" t="n">
        <f aca="false">(E8)</f>
        <v>0.0918</v>
      </c>
      <c r="Y8" s="15" t="n">
        <f aca="false">AVERAGE(G8:L8)</f>
        <v>0.106298666666667</v>
      </c>
      <c r="Z8" s="15" t="e">
        <f aca="false">AVERAGE(M8:R8)</f>
        <v>#DIV/0!</v>
      </c>
      <c r="AA8" s="15" t="n">
        <f aca="false">AVERAGE(B8:E8,G8:R8)</f>
        <v>0.0975115</v>
      </c>
    </row>
    <row r="9" customFormat="false" ht="15.75" hidden="false" customHeight="false" outlineLevel="0" collapsed="false">
      <c r="A9" s="2"/>
      <c r="B9" s="8"/>
      <c r="C9" s="8"/>
      <c r="D9" s="8" t="n">
        <v>0.0601</v>
      </c>
      <c r="E9" s="8" t="n">
        <v>0.096</v>
      </c>
      <c r="F9" s="9"/>
      <c r="G9" s="10" t="n">
        <v>0.059672</v>
      </c>
      <c r="H9" s="10" t="n">
        <v>0.085182</v>
      </c>
      <c r="I9" s="10" t="n">
        <v>0.11106</v>
      </c>
      <c r="J9" s="10" t="n">
        <v>0.129079</v>
      </c>
      <c r="K9" s="16"/>
      <c r="L9" s="10" t="n">
        <v>0.052567</v>
      </c>
      <c r="M9" s="8"/>
      <c r="N9" s="8"/>
      <c r="O9" s="8"/>
      <c r="P9" s="8"/>
      <c r="Q9" s="8"/>
      <c r="R9" s="8"/>
      <c r="S9" s="2"/>
      <c r="T9" s="14" t="s">
        <v>23</v>
      </c>
      <c r="U9" s="17" t="e">
        <f aca="false">AVERAGE(B9)</f>
        <v>#DIV/0!</v>
      </c>
      <c r="V9" s="17" t="e">
        <f aca="false">AVERAGE(C9)</f>
        <v>#DIV/0!</v>
      </c>
      <c r="W9" s="17" t="n">
        <f aca="false">AVERAGE(I9:S9)</f>
        <v>0.0975686666666667</v>
      </c>
      <c r="X9" s="17" t="n">
        <f aca="false">(E9)</f>
        <v>0.096</v>
      </c>
      <c r="Y9" s="17" t="n">
        <f aca="false">AVERAGE(G9:L9)</f>
        <v>0.087512</v>
      </c>
      <c r="Z9" s="17" t="e">
        <f aca="false">AVERAGE(M9:R9)</f>
        <v>#DIV/0!</v>
      </c>
      <c r="AA9" s="17" t="n">
        <f aca="false">AVERAGE(I9:S9)</f>
        <v>0.0975686666666667</v>
      </c>
    </row>
    <row r="10" customFormat="false" ht="15.75" hidden="false" customHeight="false" outlineLevel="0" collapsed="false">
      <c r="A10" s="18" t="s">
        <v>22</v>
      </c>
      <c r="B10" s="19" t="n">
        <f aca="false">AVERAGE(B4:B9)</f>
        <v>0.0231375</v>
      </c>
      <c r="C10" s="19" t="n">
        <f aca="false">AVERAGE(C4:C9)</f>
        <v>0.045804</v>
      </c>
      <c r="D10" s="19" t="n">
        <f aca="false">AVERAGE(D4:D9)</f>
        <v>0.105683333333333</v>
      </c>
      <c r="E10" s="19" t="n">
        <f aca="false">AVERAGE(E4:E9)</f>
        <v>0.166098333333333</v>
      </c>
      <c r="F10" s="20"/>
      <c r="G10" s="19" t="n">
        <f aca="false">AVERAGE(G4:G9)</f>
        <v>0.059504</v>
      </c>
      <c r="H10" s="19" t="n">
        <f aca="false">AVERAGE(H4:H9)</f>
        <v>0.0604225</v>
      </c>
      <c r="I10" s="19" t="n">
        <f aca="false">AVERAGE(I4:I9)</f>
        <v>0.081664</v>
      </c>
      <c r="J10" s="19" t="n">
        <f aca="false">AVERAGE(J4:J9)</f>
        <v>0.115251333333333</v>
      </c>
      <c r="K10" s="19" t="n">
        <f aca="false">AVERAGE(K4:K9)</f>
        <v>0.1635884</v>
      </c>
      <c r="L10" s="19" t="n">
        <f aca="false">AVERAGE(L4:L9)</f>
        <v>0.0290395</v>
      </c>
      <c r="M10" s="19" t="n">
        <f aca="false">AVERAGE(M4:M9)</f>
        <v>0.047907</v>
      </c>
      <c r="N10" s="19" t="n">
        <f aca="false">AVERAGE(N4:N9)</f>
        <v>0.04670225</v>
      </c>
      <c r="O10" s="19" t="n">
        <f aca="false">AVERAGE(O4:O9)</f>
        <v>0.06922375</v>
      </c>
      <c r="P10" s="19" t="n">
        <f aca="false">AVERAGE(P4:P9)</f>
        <v>0.0989185</v>
      </c>
      <c r="Q10" s="19" t="n">
        <f aca="false">AVERAGE(Q4:Q9)</f>
        <v>0.171042</v>
      </c>
      <c r="R10" s="19" t="n">
        <f aca="false">AVERAGE(R4:R9)</f>
        <v>0.07928025</v>
      </c>
      <c r="S10" s="2"/>
      <c r="T10" s="21" t="s">
        <v>24</v>
      </c>
      <c r="U10" s="22" t="n">
        <f aca="false">AVERAGE(B10)</f>
        <v>0.0231375</v>
      </c>
      <c r="V10" s="22" t="n">
        <f aca="false">AVERAGE(C10)</f>
        <v>0.045804</v>
      </c>
      <c r="W10" s="22" t="n">
        <f aca="false">AVERAGE(I10:S10)</f>
        <v>0.0902616983333333</v>
      </c>
      <c r="X10" s="22" t="n">
        <f aca="false">(E10)</f>
        <v>0.166098333333333</v>
      </c>
      <c r="Y10" s="22" t="n">
        <f aca="false">AVERAGE(G10:L10)</f>
        <v>0.0849116222222222</v>
      </c>
      <c r="Z10" s="22" t="n">
        <f aca="false">AVERAGE(M10:R10)</f>
        <v>0.0855122916666667</v>
      </c>
      <c r="AA10" s="22" t="n">
        <f aca="false">AVERAGE(I10:S10)</f>
        <v>0.0902616983333333</v>
      </c>
    </row>
    <row r="11" customFormat="false" ht="15.75" hidden="false" customHeight="false" outlineLevel="0" collapsed="false">
      <c r="A11" s="23" t="s">
        <v>25</v>
      </c>
      <c r="B11" s="24" t="n">
        <f aca="false">STDEV(B4:B7)</f>
        <v>0.00550565996649509</v>
      </c>
      <c r="C11" s="24" t="n">
        <f aca="false">STDEV(C4:C7)</f>
        <v>0.00965447378162062</v>
      </c>
      <c r="D11" s="24" t="n">
        <f aca="false">STDEV(D4:D9)</f>
        <v>0.0398498891675581</v>
      </c>
      <c r="E11" s="24" t="n">
        <f aca="false">STDEV(E4:E9)</f>
        <v>0.0570269727117499</v>
      </c>
      <c r="F11" s="24"/>
      <c r="G11" s="24" t="n">
        <f aca="false">STDEV(G4:G9)</f>
        <v>0.0399040488321674</v>
      </c>
      <c r="H11" s="24" t="n">
        <f aca="false">STDEV(H4:H9)</f>
        <v>0.0238405321396147</v>
      </c>
      <c r="I11" s="24" t="n">
        <f aca="false">STDEV(I4:I9)</f>
        <v>0.0554406419190832</v>
      </c>
      <c r="J11" s="24" t="n">
        <f aca="false">STDEV(J4:J9)</f>
        <v>0.0348789625629357</v>
      </c>
      <c r="K11" s="24" t="n">
        <f aca="false">STDEV(K4:K9)</f>
        <v>0.0252071748377322</v>
      </c>
      <c r="L11" s="24" t="n">
        <f aca="false">STDEV(L4:L9)</f>
        <v>0.0190957332485558</v>
      </c>
      <c r="M11" s="24" t="n">
        <f aca="false">STDEV(M4:M7)</f>
        <v>0.046139073007593</v>
      </c>
      <c r="N11" s="24" t="n">
        <f aca="false">STDEV(N4:N7)</f>
        <v>0.0204096331891748</v>
      </c>
      <c r="O11" s="24" t="n">
        <f aca="false">STDEV(O4:O7)</f>
        <v>0.0211243279400001</v>
      </c>
      <c r="P11" s="24" t="n">
        <f aca="false">STDEV(P4:P7)</f>
        <v>0.0244792100975501</v>
      </c>
      <c r="Q11" s="24" t="n">
        <f aca="false">STDEV(Q4:Q7)</f>
        <v>0.0271912177120972</v>
      </c>
      <c r="R11" s="25" t="n">
        <f aca="false">STDEV(R4:R7)</f>
        <v>0.0335921400070016</v>
      </c>
      <c r="S11" s="2"/>
      <c r="T11" s="6"/>
      <c r="U11" s="6"/>
      <c r="V11" s="6"/>
      <c r="W11" s="4"/>
      <c r="X11" s="26"/>
      <c r="Y11" s="26"/>
      <c r="Z11" s="6"/>
      <c r="AA11" s="6"/>
    </row>
    <row r="12" customFormat="false" ht="15.75" hidden="false" customHeight="false" outlineLevel="0" collapsed="false">
      <c r="A12" s="27" t="s">
        <v>24</v>
      </c>
      <c r="B12" s="28" t="n">
        <f aca="false">(B11/B10)</f>
        <v>0.237953969378502</v>
      </c>
      <c r="C12" s="28" t="n">
        <f aca="false">(C11/C10)</f>
        <v>0.21077796222209</v>
      </c>
      <c r="D12" s="28" t="n">
        <f aca="false">(D11/D10)</f>
        <v>0.377068814075617</v>
      </c>
      <c r="E12" s="28" t="n">
        <f aca="false">(E11/E10)</f>
        <v>0.343332600437993</v>
      </c>
      <c r="F12" s="29"/>
      <c r="G12" s="28" t="n">
        <f aca="false">(G11/G10)</f>
        <v>0.670611199787702</v>
      </c>
      <c r="H12" s="28" t="n">
        <f aca="false">(H11/H10)</f>
        <v>0.394563815459716</v>
      </c>
      <c r="I12" s="28" t="n">
        <f aca="false">(I11/I10)</f>
        <v>0.678887170835168</v>
      </c>
      <c r="J12" s="28" t="n">
        <f aca="false">(J11/J10)</f>
        <v>0.302633918013405</v>
      </c>
      <c r="K12" s="28" t="n">
        <f aca="false">(K11/K10)</f>
        <v>0.154089011431937</v>
      </c>
      <c r="L12" s="28" t="n">
        <f aca="false">(L11/L10)</f>
        <v>0.6575778938534</v>
      </c>
      <c r="M12" s="28" t="n">
        <f aca="false">(M11/M10)</f>
        <v>0.963096687490201</v>
      </c>
      <c r="N12" s="28" t="n">
        <f aca="false">(N11/N10)</f>
        <v>0.437016057881041</v>
      </c>
      <c r="O12" s="28" t="n">
        <f aca="false">(O11/O10)</f>
        <v>0.305160121201178</v>
      </c>
      <c r="P12" s="28" t="n">
        <f aca="false">(P11/P10)</f>
        <v>0.24746847250565</v>
      </c>
      <c r="Q12" s="28" t="n">
        <f aca="false">(Q11/Q10)</f>
        <v>0.158973922849927</v>
      </c>
      <c r="R12" s="30" t="n">
        <f aca="false">(R11/R10)</f>
        <v>0.423713850637474</v>
      </c>
      <c r="S12" s="2"/>
      <c r="T12" s="6"/>
      <c r="U12" s="6"/>
      <c r="V12" s="6"/>
      <c r="W12" s="4"/>
      <c r="X12" s="26"/>
      <c r="Y12" s="26"/>
      <c r="Z12" s="6"/>
      <c r="AA12" s="6"/>
    </row>
    <row r="13" customFormat="false" ht="15.75" hidden="false" customHeight="false" outlineLevel="0" collapsed="false">
      <c r="S13" s="2"/>
      <c r="T13" s="6"/>
      <c r="U13" s="6"/>
      <c r="V13" s="6"/>
      <c r="W13" s="4"/>
      <c r="X13" s="26"/>
      <c r="Y13" s="26"/>
      <c r="Z13" s="6"/>
      <c r="AA13" s="6"/>
    </row>
    <row r="14" customFormat="false" ht="19.7" hidden="false" customHeight="false" outlineLevel="0" collapsed="false">
      <c r="A14" s="1" t="s">
        <v>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6"/>
      <c r="U14" s="6"/>
      <c r="V14" s="6"/>
      <c r="W14" s="31"/>
      <c r="X14" s="26"/>
      <c r="Y14" s="26"/>
      <c r="Z14" s="6"/>
      <c r="AA14" s="6"/>
    </row>
    <row r="15" customFormat="false" ht="15.75" hidden="false" customHeight="false" outlineLevel="0" collapsed="false">
      <c r="A15" s="2"/>
      <c r="B15" s="3" t="s">
        <v>1</v>
      </c>
      <c r="C15" s="3" t="s">
        <v>2</v>
      </c>
      <c r="D15" s="3" t="s">
        <v>3</v>
      </c>
      <c r="E15" s="3" t="s">
        <v>4</v>
      </c>
      <c r="F15" s="4"/>
      <c r="G15" s="32" t="s">
        <v>5</v>
      </c>
      <c r="H15" s="32"/>
      <c r="I15" s="32"/>
      <c r="J15" s="32"/>
      <c r="K15" s="32"/>
      <c r="L15" s="32"/>
      <c r="M15" s="32" t="s">
        <v>6</v>
      </c>
      <c r="N15" s="32"/>
      <c r="O15" s="32"/>
      <c r="P15" s="32"/>
      <c r="Q15" s="32"/>
      <c r="R15" s="32"/>
      <c r="S15" s="2"/>
      <c r="T15" s="6"/>
      <c r="U15" s="6"/>
      <c r="V15" s="6"/>
      <c r="W15" s="6"/>
      <c r="X15" s="6"/>
      <c r="Y15" s="2"/>
      <c r="Z15" s="6"/>
      <c r="AA15" s="6"/>
    </row>
    <row r="16" customFormat="false" ht="15.75" hidden="false" customHeight="false" outlineLevel="0" collapsed="false">
      <c r="A16" s="2"/>
      <c r="B16" s="3"/>
      <c r="C16" s="3"/>
      <c r="D16" s="3"/>
      <c r="E16" s="3"/>
      <c r="F16" s="2"/>
      <c r="G16" s="4" t="s">
        <v>7</v>
      </c>
      <c r="H16" s="4" t="s">
        <v>8</v>
      </c>
      <c r="I16" s="31" t="s">
        <v>9</v>
      </c>
      <c r="J16" s="31" t="s">
        <v>10</v>
      </c>
      <c r="K16" s="31" t="s">
        <v>11</v>
      </c>
      <c r="L16" s="4" t="s">
        <v>12</v>
      </c>
      <c r="M16" s="4" t="s">
        <v>7</v>
      </c>
      <c r="N16" s="4" t="s">
        <v>8</v>
      </c>
      <c r="O16" s="31" t="s">
        <v>9</v>
      </c>
      <c r="P16" s="31" t="s">
        <v>10</v>
      </c>
      <c r="Q16" s="31" t="s">
        <v>11</v>
      </c>
      <c r="R16" s="4" t="s">
        <v>12</v>
      </c>
      <c r="S16" s="2"/>
      <c r="T16" s="6"/>
      <c r="U16" s="6"/>
      <c r="V16" s="6"/>
      <c r="W16" s="6"/>
      <c r="X16" s="4"/>
      <c r="Y16" s="4"/>
      <c r="Z16" s="6"/>
      <c r="AA16" s="6"/>
    </row>
    <row r="17" customFormat="false" ht="15.75" hidden="false" customHeight="false" outlineLevel="0" collapsed="false">
      <c r="A17" s="2"/>
      <c r="B17" s="33" t="n">
        <v>6.245</v>
      </c>
      <c r="C17" s="33" t="n">
        <v>13.56</v>
      </c>
      <c r="D17" s="33" t="n">
        <v>70.42</v>
      </c>
      <c r="E17" s="33" t="n">
        <v>81.63</v>
      </c>
      <c r="F17" s="2"/>
      <c r="G17" s="34" t="n">
        <v>5.6472</v>
      </c>
      <c r="H17" s="34" t="n">
        <v>9.021</v>
      </c>
      <c r="I17" s="34" t="n">
        <v>18.0508</v>
      </c>
      <c r="J17" s="34" t="n">
        <v>28.0771</v>
      </c>
      <c r="K17" s="34" t="n">
        <v>52.2981</v>
      </c>
      <c r="L17" s="34" t="n">
        <v>3.827</v>
      </c>
      <c r="M17" s="34" t="n">
        <v>73.5774</v>
      </c>
      <c r="N17" s="34" t="n">
        <v>50.3168</v>
      </c>
      <c r="O17" s="34" t="n">
        <v>54.1951</v>
      </c>
      <c r="P17" s="35" t="s">
        <v>27</v>
      </c>
      <c r="Q17" s="34" t="n">
        <v>85.2732</v>
      </c>
      <c r="R17" s="34" t="n">
        <v>20.5066</v>
      </c>
      <c r="S17" s="2"/>
      <c r="T17" s="6"/>
      <c r="U17" s="6"/>
      <c r="V17" s="6"/>
      <c r="W17" s="4"/>
      <c r="X17" s="26"/>
      <c r="Y17" s="26"/>
      <c r="Z17" s="6"/>
      <c r="AA17" s="6"/>
    </row>
    <row r="18" customFormat="false" ht="15.75" hidden="false" customHeight="false" outlineLevel="0" collapsed="false">
      <c r="A18" s="2"/>
      <c r="B18" s="33" t="n">
        <v>6.4283</v>
      </c>
      <c r="C18" s="33" t="n">
        <v>17.172</v>
      </c>
      <c r="D18" s="33" t="n">
        <v>89.195</v>
      </c>
      <c r="E18" s="33" t="n">
        <v>103.142</v>
      </c>
      <c r="F18" s="2"/>
      <c r="G18" s="34" t="n">
        <v>21.4949</v>
      </c>
      <c r="H18" s="34" t="n">
        <v>29.0236</v>
      </c>
      <c r="I18" s="34" t="n">
        <v>17.0139</v>
      </c>
      <c r="J18" s="34" t="n">
        <v>36.5104</v>
      </c>
      <c r="K18" s="34" t="n">
        <v>51.5893</v>
      </c>
      <c r="L18" s="34" t="n">
        <v>2.9313</v>
      </c>
      <c r="M18" s="34" t="n">
        <v>25.1453</v>
      </c>
      <c r="N18" s="34" t="n">
        <v>37.9595</v>
      </c>
      <c r="O18" s="34" t="n">
        <v>59.5506</v>
      </c>
      <c r="P18" s="34" t="n">
        <v>72.5784</v>
      </c>
      <c r="Q18" s="34" t="n">
        <v>95.3564</v>
      </c>
      <c r="R18" s="34" t="n">
        <v>79.0322</v>
      </c>
      <c r="S18" s="2"/>
      <c r="T18" s="6"/>
      <c r="U18" s="6"/>
      <c r="V18" s="6"/>
      <c r="W18" s="4"/>
      <c r="X18" s="26"/>
      <c r="Y18" s="26"/>
      <c r="Z18" s="6"/>
      <c r="AA18" s="6"/>
    </row>
    <row r="19" customFormat="false" ht="15.75" hidden="false" customHeight="false" outlineLevel="0" collapsed="false">
      <c r="A19" s="2"/>
      <c r="B19" s="33" t="n">
        <v>12.1142</v>
      </c>
      <c r="C19" s="33" t="n">
        <v>20.117</v>
      </c>
      <c r="D19" s="33" t="n">
        <v>76.68</v>
      </c>
      <c r="E19" s="33" t="n">
        <v>101.093</v>
      </c>
      <c r="F19" s="2"/>
      <c r="G19" s="34" t="n">
        <v>125.2401</v>
      </c>
      <c r="H19" s="34" t="n">
        <v>26.705</v>
      </c>
      <c r="I19" s="34" t="n">
        <v>113.029</v>
      </c>
      <c r="J19" s="34" t="n">
        <v>68.1049</v>
      </c>
      <c r="K19" s="34" t="n">
        <v>83.4682</v>
      </c>
      <c r="L19" s="34" t="n">
        <v>22.1725</v>
      </c>
      <c r="M19" s="34" t="n">
        <v>7.4143</v>
      </c>
      <c r="N19" s="34" t="n">
        <v>13.49</v>
      </c>
      <c r="O19" s="34" t="n">
        <v>24.9032</v>
      </c>
      <c r="P19" s="34" t="n">
        <v>35.8134</v>
      </c>
      <c r="Q19" s="34" t="n">
        <v>62.92</v>
      </c>
      <c r="R19" s="34" t="n">
        <v>74.755</v>
      </c>
      <c r="S19" s="2"/>
      <c r="T19" s="6"/>
      <c r="U19" s="6"/>
      <c r="V19" s="6"/>
      <c r="W19" s="31"/>
      <c r="X19" s="26"/>
      <c r="Y19" s="26"/>
      <c r="Z19" s="6"/>
      <c r="AA19" s="6"/>
    </row>
    <row r="20" customFormat="false" ht="15.75" hidden="false" customHeight="false" outlineLevel="0" collapsed="false">
      <c r="A20" s="2"/>
      <c r="B20" s="33" t="n">
        <v>11.0075</v>
      </c>
      <c r="C20" s="33" t="n">
        <v>28.74</v>
      </c>
      <c r="D20" s="33" t="n">
        <v>88.266</v>
      </c>
      <c r="E20" s="33" t="n">
        <v>105.816</v>
      </c>
      <c r="F20" s="2"/>
      <c r="G20" s="34" t="n">
        <v>12.4272</v>
      </c>
      <c r="H20" s="34" t="n">
        <v>31.6242</v>
      </c>
      <c r="I20" s="34" t="n">
        <v>146.4614</v>
      </c>
      <c r="J20" s="34" t="n">
        <v>97.8657</v>
      </c>
      <c r="K20" s="34" t="n">
        <v>78.6398</v>
      </c>
      <c r="L20" s="34" t="n">
        <v>10.2466</v>
      </c>
      <c r="M20" s="34" t="n">
        <v>6.3567</v>
      </c>
      <c r="N20" s="34" t="n">
        <v>12.3365</v>
      </c>
      <c r="O20" s="34" t="n">
        <v>21.9892</v>
      </c>
      <c r="P20" s="34" t="n">
        <v>36.0976</v>
      </c>
      <c r="Q20" s="34" t="n">
        <v>58.316</v>
      </c>
      <c r="R20" s="34" t="n">
        <v>61.4613</v>
      </c>
      <c r="S20" s="2"/>
      <c r="T20" s="6"/>
      <c r="U20" s="6"/>
      <c r="V20" s="6"/>
      <c r="W20" s="31"/>
      <c r="X20" s="26"/>
      <c r="Y20" s="26"/>
      <c r="Z20" s="6"/>
      <c r="AA20" s="6"/>
    </row>
    <row r="21" customFormat="false" ht="15.75" hidden="false" customHeight="false" outlineLevel="0" collapsed="false">
      <c r="A21" s="2"/>
      <c r="B21" s="33"/>
      <c r="C21" s="33"/>
      <c r="D21" s="33" t="n">
        <v>31.5426</v>
      </c>
      <c r="E21" s="33" t="n">
        <v>62.1887</v>
      </c>
      <c r="F21" s="2"/>
      <c r="G21" s="34" t="n">
        <v>58.6295</v>
      </c>
      <c r="H21" s="34" t="n">
        <v>72.6389</v>
      </c>
      <c r="I21" s="34" t="n">
        <v>83.0578</v>
      </c>
      <c r="J21" s="34" t="n">
        <v>99.2757</v>
      </c>
      <c r="K21" s="34" t="n">
        <v>88.3755</v>
      </c>
      <c r="L21" s="34" t="n">
        <v>47.3522</v>
      </c>
      <c r="M21" s="2"/>
      <c r="N21" s="2"/>
      <c r="O21" s="2"/>
      <c r="P21" s="2"/>
      <c r="Q21" s="2"/>
      <c r="R21" s="2"/>
      <c r="S21" s="2"/>
      <c r="T21" s="11"/>
      <c r="U21" s="12" t="s">
        <v>13</v>
      </c>
      <c r="V21" s="12"/>
      <c r="W21" s="12"/>
      <c r="X21" s="12"/>
      <c r="Y21" s="12" t="s">
        <v>14</v>
      </c>
      <c r="Z21" s="12"/>
      <c r="AA21" s="11"/>
    </row>
    <row r="22" customFormat="false" ht="15.75" hidden="false" customHeight="false" outlineLevel="0" collapsed="false">
      <c r="A22" s="2"/>
      <c r="B22" s="33"/>
      <c r="C22" s="33"/>
      <c r="D22" s="33" t="n">
        <v>40.4081</v>
      </c>
      <c r="E22" s="33" t="n">
        <v>66.713</v>
      </c>
      <c r="F22" s="2"/>
      <c r="G22" s="34" t="n">
        <v>49.5769</v>
      </c>
      <c r="H22" s="34" t="n">
        <v>76.6381</v>
      </c>
      <c r="I22" s="34" t="n">
        <v>84.7505</v>
      </c>
      <c r="J22" s="34" t="n">
        <v>83.1343</v>
      </c>
      <c r="K22" s="2"/>
      <c r="L22" s="34" t="n">
        <v>51.7849</v>
      </c>
      <c r="M22" s="2"/>
      <c r="N22" s="2"/>
      <c r="O22" s="2"/>
      <c r="P22" s="2"/>
      <c r="Q22" s="2"/>
      <c r="R22" s="2"/>
      <c r="S22" s="2"/>
      <c r="T22" s="11"/>
      <c r="U22" s="12" t="s">
        <v>15</v>
      </c>
      <c r="V22" s="12" t="s">
        <v>16</v>
      </c>
      <c r="W22" s="12" t="s">
        <v>17</v>
      </c>
      <c r="X22" s="12" t="s">
        <v>18</v>
      </c>
      <c r="Y22" s="12" t="s">
        <v>19</v>
      </c>
      <c r="Z22" s="13" t="s">
        <v>20</v>
      </c>
      <c r="AA22" s="12" t="s">
        <v>21</v>
      </c>
    </row>
    <row r="23" customFormat="false" ht="15.75" hidden="false" customHeight="false" outlineLevel="0" collapsed="false">
      <c r="A23" s="36" t="s">
        <v>22</v>
      </c>
      <c r="B23" s="37" t="n">
        <f aca="false">AVERAGE(B17:B22)</f>
        <v>8.94875</v>
      </c>
      <c r="C23" s="37" t="n">
        <f aca="false">AVERAGE(C17:C22)</f>
        <v>19.89725</v>
      </c>
      <c r="D23" s="37" t="n">
        <f aca="false">AVERAGE(D17:D22)</f>
        <v>66.0852833333333</v>
      </c>
      <c r="E23" s="37" t="n">
        <f aca="false">AVERAGE(E17:E22)</f>
        <v>86.7637833333333</v>
      </c>
      <c r="F23" s="38"/>
      <c r="G23" s="37" t="n">
        <f aca="false">AVERAGE(G17:G22)</f>
        <v>45.5026333333333</v>
      </c>
      <c r="H23" s="37" t="n">
        <f aca="false">AVERAGE(H17:H22)</f>
        <v>40.9418</v>
      </c>
      <c r="I23" s="37" t="n">
        <f aca="false">AVERAGE(I17:I22)</f>
        <v>77.0605666666667</v>
      </c>
      <c r="J23" s="37" t="n">
        <f aca="false">AVERAGE(J17:J22)</f>
        <v>68.8280166666667</v>
      </c>
      <c r="K23" s="37" t="n">
        <f aca="false">AVERAGE(K17:K22)</f>
        <v>70.87418</v>
      </c>
      <c r="L23" s="37" t="n">
        <f aca="false">AVERAGE(L17:L22)</f>
        <v>23.0524166666667</v>
      </c>
      <c r="M23" s="37" t="n">
        <f aca="false">AVERAGE(M17:M22)</f>
        <v>28.123425</v>
      </c>
      <c r="N23" s="37" t="n">
        <f aca="false">AVERAGE(N17:N22)</f>
        <v>28.5257</v>
      </c>
      <c r="O23" s="37" t="n">
        <f aca="false">AVERAGE(O17:O22)</f>
        <v>40.159525</v>
      </c>
      <c r="P23" s="37" t="n">
        <f aca="false">AVERAGE(P17:P22)</f>
        <v>48.1631333333333</v>
      </c>
      <c r="Q23" s="37" t="n">
        <f aca="false">AVERAGE(Q17:Q22)</f>
        <v>75.4664</v>
      </c>
      <c r="R23" s="39" t="n">
        <f aca="false">AVERAGE(R17:R22)</f>
        <v>58.938775</v>
      </c>
      <c r="S23" s="2"/>
      <c r="T23" s="14" t="s">
        <v>22</v>
      </c>
      <c r="U23" s="15" t="n">
        <f aca="false">(B23)</f>
        <v>8.94875</v>
      </c>
      <c r="V23" s="15" t="n">
        <f aca="false">(C23)</f>
        <v>19.89725</v>
      </c>
      <c r="W23" s="15" t="n">
        <f aca="false">(D23)</f>
        <v>66.0852833333333</v>
      </c>
      <c r="X23" s="15" t="n">
        <f aca="false">(E23)</f>
        <v>86.7637833333333</v>
      </c>
      <c r="Y23" s="15" t="n">
        <f aca="false">AVERAGE(G23:L23)</f>
        <v>54.3766022222222</v>
      </c>
      <c r="Z23" s="15" t="n">
        <f aca="false">AVERAGE(M23:R23)</f>
        <v>46.5628263888889</v>
      </c>
      <c r="AA23" s="15" t="n">
        <f aca="false">AVERAGE(B23:E23,G23:R23)</f>
        <v>49.2082273958333</v>
      </c>
    </row>
    <row r="24" customFormat="false" ht="15.75" hidden="false" customHeight="false" outlineLevel="0" collapsed="false">
      <c r="A24" s="23" t="s">
        <v>25</v>
      </c>
      <c r="B24" s="24" t="n">
        <f aca="false">STDEV(B17:B20)</f>
        <v>3.05076261121707</v>
      </c>
      <c r="C24" s="24" t="n">
        <f aca="false">STDEV(C17:C20)</f>
        <v>6.47637354157402</v>
      </c>
      <c r="D24" s="24" t="n">
        <f aca="false">STDEV(D17:D22)</f>
        <v>24.5340404413473</v>
      </c>
      <c r="E24" s="24" t="n">
        <f aca="false">STDEV(E17:E22)</f>
        <v>19.3333067828984</v>
      </c>
      <c r="F24" s="24"/>
      <c r="G24" s="24" t="n">
        <f aca="false">STDEV(G17:G22)</f>
        <v>44.2849612937695</v>
      </c>
      <c r="H24" s="24" t="n">
        <f aca="false">STDEV(H17:H22)</f>
        <v>27.3108662988928</v>
      </c>
      <c r="I24" s="24" t="n">
        <f aca="false">STDEV(I17:I22)</f>
        <v>51.5617309367584</v>
      </c>
      <c r="J24" s="24" t="n">
        <f aca="false">STDEV(J17:J22)</f>
        <v>30.5957731409041</v>
      </c>
      <c r="K24" s="24" t="n">
        <f aca="false">STDEV(K17:K22)</f>
        <v>17.6223419291251</v>
      </c>
      <c r="L24" s="24" t="n">
        <f aca="false">STDEV(L17:L22)</f>
        <v>21.7037980284942</v>
      </c>
      <c r="M24" s="24" t="n">
        <f aca="false">STDEV(M17:M20)</f>
        <v>31.5044507295266</v>
      </c>
      <c r="N24" s="24" t="n">
        <f aca="false">STDEV(N17:N20)</f>
        <v>18.7261946016803</v>
      </c>
      <c r="O24" s="24" t="n">
        <f aca="false">STDEV(O17:O20)</f>
        <v>19.4587368410482</v>
      </c>
      <c r="P24" s="24" t="n">
        <f aca="false">STDEV(P17:P20)</f>
        <v>21.1447186600658</v>
      </c>
      <c r="Q24" s="24" t="n">
        <f aca="false">STDEV(Q17:Q20)</f>
        <v>17.7325858178289</v>
      </c>
      <c r="R24" s="25" t="n">
        <f aca="false">STDEV(R17:R20)</f>
        <v>26.6914087868956</v>
      </c>
      <c r="S24" s="2"/>
      <c r="T24" s="14" t="s">
        <v>23</v>
      </c>
      <c r="U24" s="17" t="n">
        <f aca="false">AVERAGE(B24)</f>
        <v>3.05076261121707</v>
      </c>
      <c r="V24" s="17" t="n">
        <f aca="false">AVERAGE(C24)</f>
        <v>6.47637354157402</v>
      </c>
      <c r="W24" s="17" t="n">
        <f aca="false">AVERAGE(I24:S24)</f>
        <v>25.6741739472327</v>
      </c>
      <c r="X24" s="17" t="n">
        <f aca="false">(E24)</f>
        <v>19.3333067828984</v>
      </c>
      <c r="Y24" s="17" t="n">
        <f aca="false">AVERAGE(G24:L24)</f>
        <v>32.1799119379907</v>
      </c>
      <c r="Z24" s="17" t="n">
        <f aca="false">AVERAGE(M24:R24)</f>
        <v>22.5430159061742</v>
      </c>
      <c r="AA24" s="17" t="n">
        <f aca="false">AVERAGE(I24:S24)</f>
        <v>25.6741739472327</v>
      </c>
    </row>
    <row r="25" customFormat="false" ht="15.75" hidden="false" customHeight="false" outlineLevel="0" collapsed="false">
      <c r="A25" s="27" t="s">
        <v>24</v>
      </c>
      <c r="B25" s="28" t="n">
        <f aca="false">(B24/B23)</f>
        <v>0.340914944681332</v>
      </c>
      <c r="C25" s="28" t="n">
        <f aca="false">(C24/C23)</f>
        <v>0.325490886508136</v>
      </c>
      <c r="D25" s="28" t="n">
        <f aca="false">(D24/D23)</f>
        <v>0.371248169090809</v>
      </c>
      <c r="E25" s="28" t="n">
        <f aca="false">(E24/E23)</f>
        <v>0.222826922019096</v>
      </c>
      <c r="F25" s="29"/>
      <c r="G25" s="28" t="n">
        <f aca="false">(G24/G23)</f>
        <v>0.973239525927134</v>
      </c>
      <c r="H25" s="28" t="n">
        <f aca="false">(H24/H23)</f>
        <v>0.66706559796816</v>
      </c>
      <c r="I25" s="28" t="n">
        <f aca="false">(I24/I23)</f>
        <v>0.669106563409972</v>
      </c>
      <c r="J25" s="28" t="n">
        <f aca="false">(J24/J23)</f>
        <v>0.444524985938198</v>
      </c>
      <c r="K25" s="28" t="n">
        <f aca="false">(K24/K23)</f>
        <v>0.248642621743561</v>
      </c>
      <c r="L25" s="28" t="n">
        <f aca="false">(L24/L23)</f>
        <v>0.941497732854942</v>
      </c>
      <c r="M25" s="28" t="n">
        <f aca="false">(M24/M23)</f>
        <v>1.12022098053585</v>
      </c>
      <c r="N25" s="28" t="n">
        <f aca="false">(N24/N23)</f>
        <v>0.656467487272189</v>
      </c>
      <c r="O25" s="28" t="n">
        <f aca="false">(O24/O23)</f>
        <v>0.484536030768496</v>
      </c>
      <c r="P25" s="28" t="n">
        <f aca="false">(P24/P23)</f>
        <v>0.439022903965255</v>
      </c>
      <c r="Q25" s="28" t="n">
        <f aca="false">(Q24/Q23)</f>
        <v>0.234973257208889</v>
      </c>
      <c r="R25" s="30" t="n">
        <f aca="false">(R24/R23)</f>
        <v>0.452866704251922</v>
      </c>
      <c r="S25" s="2"/>
      <c r="T25" s="21" t="s">
        <v>24</v>
      </c>
      <c r="U25" s="22" t="n">
        <f aca="false">AVERAGE(B25)</f>
        <v>0.340914944681332</v>
      </c>
      <c r="V25" s="22" t="n">
        <f aca="false">AVERAGE(C25)</f>
        <v>0.325490886508136</v>
      </c>
      <c r="W25" s="22" t="n">
        <f aca="false">AVERAGE(I25:S25)</f>
        <v>0.569185926794928</v>
      </c>
      <c r="X25" s="22" t="n">
        <f aca="false">(E25)</f>
        <v>0.222826922019096</v>
      </c>
      <c r="Y25" s="22" t="n">
        <f aca="false">AVERAGE(G25:L25)</f>
        <v>0.657346171306995</v>
      </c>
      <c r="Z25" s="22" t="n">
        <f aca="false">AVERAGE(M25:R25)</f>
        <v>0.564681227333768</v>
      </c>
      <c r="AA25" s="22" t="n">
        <f aca="false">AVERAGE(I25:S25)</f>
        <v>0.569185926794928</v>
      </c>
    </row>
    <row r="26" customFormat="false" ht="15.75" hidden="false" customHeight="false" outlineLevel="0" collapsed="false">
      <c r="S26" s="2"/>
      <c r="T26" s="6"/>
      <c r="U26" s="6"/>
      <c r="V26" s="6"/>
      <c r="W26" s="31"/>
      <c r="X26" s="26"/>
      <c r="Y26" s="26"/>
      <c r="Z26" s="6"/>
      <c r="AA26" s="6"/>
    </row>
    <row r="27" customFormat="false" ht="19.7" hidden="false" customHeight="false" outlineLevel="0" collapsed="false">
      <c r="A27" s="1" t="s">
        <v>28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6"/>
      <c r="U27" s="6"/>
      <c r="V27" s="6"/>
      <c r="W27" s="31"/>
      <c r="X27" s="26"/>
      <c r="Y27" s="26"/>
      <c r="Z27" s="6"/>
      <c r="AA27" s="6"/>
    </row>
    <row r="28" customFormat="false" ht="15.75" hidden="false" customHeight="false" outlineLevel="0" collapsed="false">
      <c r="A28" s="6"/>
      <c r="B28" s="3" t="s">
        <v>1</v>
      </c>
      <c r="C28" s="3" t="s">
        <v>2</v>
      </c>
      <c r="D28" s="3" t="s">
        <v>3</v>
      </c>
      <c r="E28" s="3" t="s">
        <v>4</v>
      </c>
      <c r="F28" s="2"/>
      <c r="G28" s="32" t="s">
        <v>5</v>
      </c>
      <c r="H28" s="32"/>
      <c r="I28" s="32"/>
      <c r="J28" s="32"/>
      <c r="K28" s="32"/>
      <c r="L28" s="32"/>
      <c r="M28" s="32" t="s">
        <v>6</v>
      </c>
      <c r="N28" s="32"/>
      <c r="O28" s="32"/>
      <c r="P28" s="32"/>
      <c r="Q28" s="32"/>
      <c r="R28" s="32"/>
      <c r="S28" s="2"/>
      <c r="T28" s="6"/>
      <c r="U28" s="6"/>
      <c r="V28" s="6"/>
      <c r="W28" s="4"/>
      <c r="X28" s="26"/>
      <c r="Y28" s="26"/>
      <c r="Z28" s="6"/>
      <c r="AA28" s="6"/>
    </row>
    <row r="29" customFormat="false" ht="15.75" hidden="false" customHeight="false" outlineLevel="0" collapsed="false">
      <c r="A29" s="6"/>
      <c r="B29" s="3"/>
      <c r="C29" s="3"/>
      <c r="D29" s="3"/>
      <c r="E29" s="3"/>
      <c r="F29" s="2"/>
      <c r="G29" s="4" t="s">
        <v>7</v>
      </c>
      <c r="H29" s="4" t="s">
        <v>8</v>
      </c>
      <c r="I29" s="31" t="s">
        <v>9</v>
      </c>
      <c r="J29" s="31" t="s">
        <v>10</v>
      </c>
      <c r="K29" s="31" t="s">
        <v>11</v>
      </c>
      <c r="L29" s="4" t="s">
        <v>12</v>
      </c>
      <c r="M29" s="4" t="s">
        <v>7</v>
      </c>
      <c r="N29" s="4" t="s">
        <v>8</v>
      </c>
      <c r="O29" s="31" t="s">
        <v>9</v>
      </c>
      <c r="P29" s="31" t="s">
        <v>10</v>
      </c>
      <c r="Q29" s="31" t="s">
        <v>11</v>
      </c>
      <c r="R29" s="4" t="s">
        <v>12</v>
      </c>
      <c r="S29" s="2"/>
      <c r="T29" s="6"/>
      <c r="U29" s="6"/>
      <c r="V29" s="6"/>
      <c r="W29" s="6"/>
      <c r="X29" s="6"/>
      <c r="Y29" s="6"/>
      <c r="Z29" s="6"/>
      <c r="AA29" s="6"/>
    </row>
    <row r="30" customFormat="false" ht="15.75" hidden="false" customHeight="false" outlineLevel="0" collapsed="false">
      <c r="A30" s="6"/>
      <c r="B30" s="11" t="n">
        <v>35193.44</v>
      </c>
      <c r="C30" s="11" t="n">
        <v>38776.57</v>
      </c>
      <c r="D30" s="11" t="n">
        <v>58776.88</v>
      </c>
      <c r="E30" s="11" t="n">
        <v>46264.07</v>
      </c>
      <c r="F30" s="2"/>
      <c r="G30" s="34" t="n">
        <v>38155.16</v>
      </c>
      <c r="H30" s="34" t="n">
        <v>39973.93</v>
      </c>
      <c r="I30" s="34" t="n">
        <v>42539.61</v>
      </c>
      <c r="J30" s="34" t="n">
        <v>43473.92</v>
      </c>
      <c r="K30" s="34" t="n">
        <v>39333.84</v>
      </c>
      <c r="L30" s="34" t="n">
        <v>38275.32</v>
      </c>
      <c r="M30" s="34" t="n">
        <v>66023.28</v>
      </c>
      <c r="N30" s="34" t="n">
        <v>74642.91</v>
      </c>
      <c r="O30" s="34" t="n">
        <v>66434.91</v>
      </c>
      <c r="P30" s="34" t="n">
        <v>64024.4</v>
      </c>
      <c r="Q30" s="34" t="n">
        <v>47790.83</v>
      </c>
      <c r="R30" s="34" t="n">
        <v>71535.85</v>
      </c>
      <c r="S30" s="2"/>
      <c r="T30" s="6"/>
      <c r="U30" s="6"/>
      <c r="V30" s="6"/>
      <c r="W30" s="6"/>
      <c r="X30" s="4"/>
      <c r="Y30" s="4"/>
      <c r="Z30" s="6"/>
      <c r="AA30" s="6"/>
    </row>
    <row r="31" customFormat="false" ht="15.75" hidden="false" customHeight="false" outlineLevel="0" collapsed="false">
      <c r="A31" s="6"/>
      <c r="B31" s="11" t="n">
        <v>35472.29</v>
      </c>
      <c r="C31" s="11" t="n">
        <v>41834.52</v>
      </c>
      <c r="D31" s="11" t="n">
        <v>64308.27</v>
      </c>
      <c r="E31" s="11" t="n">
        <v>50316.24</v>
      </c>
      <c r="F31" s="2"/>
      <c r="G31" s="34" t="n">
        <v>35616.4</v>
      </c>
      <c r="H31" s="34" t="n">
        <v>42463.24</v>
      </c>
      <c r="I31" s="34" t="n">
        <v>41819.81</v>
      </c>
      <c r="J31" s="34" t="n">
        <v>45903.58</v>
      </c>
      <c r="K31" s="34" t="n">
        <v>39148.65</v>
      </c>
      <c r="L31" s="34" t="n">
        <v>35230.5</v>
      </c>
      <c r="M31" s="34" t="n">
        <v>61936.93</v>
      </c>
      <c r="N31" s="34" t="n">
        <v>67119.95</v>
      </c>
      <c r="O31" s="34" t="n">
        <v>67852.48</v>
      </c>
      <c r="P31" s="34" t="n">
        <v>62973.36</v>
      </c>
      <c r="Q31" s="34" t="n">
        <v>48456.28</v>
      </c>
      <c r="R31" s="34" t="n">
        <v>80547.07</v>
      </c>
      <c r="S31" s="2"/>
      <c r="T31" s="6"/>
      <c r="U31" s="6"/>
      <c r="V31" s="6"/>
      <c r="W31" s="31"/>
      <c r="X31" s="26"/>
      <c r="Y31" s="26"/>
      <c r="Z31" s="6"/>
      <c r="AA31" s="6"/>
    </row>
    <row r="32" customFormat="false" ht="15.75" hidden="false" customHeight="false" outlineLevel="0" collapsed="false">
      <c r="A32" s="6"/>
      <c r="B32" s="11" t="n">
        <v>42565.38</v>
      </c>
      <c r="C32" s="11" t="n">
        <v>44945.88</v>
      </c>
      <c r="D32" s="11" t="n">
        <v>63913.45</v>
      </c>
      <c r="E32" s="11" t="n">
        <v>50558.29</v>
      </c>
      <c r="F32" s="2"/>
      <c r="G32" s="34" t="n">
        <v>100324.1</v>
      </c>
      <c r="H32" s="34" t="n">
        <v>59423.23</v>
      </c>
      <c r="I32" s="34" t="n">
        <v>71467.13</v>
      </c>
      <c r="J32" s="34" t="n">
        <v>61275.2</v>
      </c>
      <c r="K32" s="34" t="n">
        <v>47274.83</v>
      </c>
      <c r="L32" s="34" t="n">
        <v>66020.09</v>
      </c>
      <c r="M32" s="34" t="n">
        <v>42092.3</v>
      </c>
      <c r="N32" s="34" t="n">
        <v>45665.3</v>
      </c>
      <c r="O32" s="34" t="n">
        <v>48064.61</v>
      </c>
      <c r="P32" s="34" t="n">
        <v>47565.24</v>
      </c>
      <c r="Q32" s="34" t="n">
        <v>42573.3</v>
      </c>
      <c r="R32" s="34" t="n">
        <v>78637.01</v>
      </c>
      <c r="S32" s="2"/>
      <c r="T32" s="6"/>
      <c r="U32" s="6"/>
      <c r="V32" s="6"/>
      <c r="W32" s="31"/>
      <c r="X32" s="26"/>
      <c r="Y32" s="26"/>
      <c r="Z32" s="6"/>
      <c r="AA32" s="6"/>
    </row>
    <row r="33" customFormat="false" ht="15.75" hidden="false" customHeight="false" outlineLevel="0" collapsed="false">
      <c r="A33" s="6"/>
      <c r="B33" s="11" t="n">
        <v>42836.14</v>
      </c>
      <c r="C33" s="11" t="n">
        <v>50240.54</v>
      </c>
      <c r="D33" s="11" t="n">
        <v>67246.67</v>
      </c>
      <c r="E33" s="11" t="n">
        <v>51323.99</v>
      </c>
      <c r="F33" s="2"/>
      <c r="G33" s="34" t="n">
        <v>50496.68</v>
      </c>
      <c r="H33" s="34" t="n">
        <v>60124.42</v>
      </c>
      <c r="I33" s="34" t="n">
        <v>91348.79</v>
      </c>
      <c r="J33" s="34" t="n">
        <v>65080.09</v>
      </c>
      <c r="K33" s="34" t="n">
        <v>46447.61</v>
      </c>
      <c r="L33" s="34" t="n">
        <v>53881.16</v>
      </c>
      <c r="M33" s="34" t="n">
        <v>39290.09</v>
      </c>
      <c r="N33" s="34" t="n">
        <v>44608.79</v>
      </c>
      <c r="O33" s="34" t="n">
        <v>46413.53</v>
      </c>
      <c r="P33" s="34" t="n">
        <v>47824.29</v>
      </c>
      <c r="Q33" s="34" t="n">
        <v>41516.2</v>
      </c>
      <c r="R33" s="34" t="n">
        <v>71724.53</v>
      </c>
      <c r="S33" s="2"/>
      <c r="T33" s="6"/>
      <c r="U33" s="6"/>
      <c r="V33" s="6"/>
      <c r="W33" s="31"/>
      <c r="X33" s="26"/>
      <c r="Y33" s="26"/>
      <c r="Z33" s="6"/>
      <c r="AA33" s="6"/>
    </row>
    <row r="34" customFormat="false" ht="15.75" hidden="false" customHeight="false" outlineLevel="0" collapsed="false">
      <c r="A34" s="6"/>
      <c r="B34" s="11"/>
      <c r="C34" s="11"/>
      <c r="D34" s="11" t="n">
        <v>64057.6</v>
      </c>
      <c r="E34" s="11" t="n">
        <v>69510.52</v>
      </c>
      <c r="F34" s="2"/>
      <c r="G34" s="34" t="n">
        <v>91734.63</v>
      </c>
      <c r="H34" s="34" t="n">
        <v>90222.55</v>
      </c>
      <c r="I34" s="34" t="n">
        <v>79389.99</v>
      </c>
      <c r="J34" s="34" t="n">
        <v>71025.2</v>
      </c>
      <c r="K34" s="34" t="n">
        <v>48394.33</v>
      </c>
      <c r="L34" s="34" t="n">
        <v>100601.7</v>
      </c>
      <c r="M34" s="2"/>
      <c r="N34" s="2"/>
      <c r="O34" s="2"/>
      <c r="P34" s="2"/>
      <c r="Q34" s="2"/>
      <c r="R34" s="2"/>
      <c r="S34" s="2"/>
      <c r="T34" s="11"/>
      <c r="U34" s="12" t="s">
        <v>13</v>
      </c>
      <c r="V34" s="12"/>
      <c r="W34" s="12"/>
      <c r="X34" s="12"/>
      <c r="Y34" s="12" t="s">
        <v>14</v>
      </c>
      <c r="Z34" s="12"/>
      <c r="AA34" s="11"/>
    </row>
    <row r="35" customFormat="false" ht="15.75" hidden="false" customHeight="false" outlineLevel="0" collapsed="false">
      <c r="A35" s="6"/>
      <c r="B35" s="11"/>
      <c r="C35" s="11"/>
      <c r="D35" s="11" t="n">
        <v>68999.72</v>
      </c>
      <c r="E35" s="11" t="n">
        <v>71298.82</v>
      </c>
      <c r="F35" s="2"/>
      <c r="G35" s="34" t="n">
        <v>85672.98</v>
      </c>
      <c r="H35" s="34" t="n">
        <v>92775.98</v>
      </c>
      <c r="I35" s="34" t="n">
        <v>78690.66</v>
      </c>
      <c r="J35" s="34" t="n">
        <v>66414.48</v>
      </c>
      <c r="K35" s="40"/>
      <c r="L35" s="34" t="n">
        <v>101593.4</v>
      </c>
      <c r="M35" s="2"/>
      <c r="N35" s="2"/>
      <c r="O35" s="2"/>
      <c r="P35" s="2"/>
      <c r="Q35" s="2"/>
      <c r="R35" s="2"/>
      <c r="S35" s="2"/>
      <c r="T35" s="11"/>
      <c r="U35" s="12" t="s">
        <v>15</v>
      </c>
      <c r="V35" s="12" t="s">
        <v>16</v>
      </c>
      <c r="W35" s="12" t="s">
        <v>17</v>
      </c>
      <c r="X35" s="12" t="s">
        <v>18</v>
      </c>
      <c r="Y35" s="12" t="s">
        <v>19</v>
      </c>
      <c r="Z35" s="13" t="s">
        <v>20</v>
      </c>
      <c r="AA35" s="12" t="s">
        <v>21</v>
      </c>
    </row>
    <row r="36" customFormat="false" ht="15.75" hidden="false" customHeight="false" outlineLevel="0" collapsed="false">
      <c r="A36" s="36" t="s">
        <v>22</v>
      </c>
      <c r="B36" s="37" t="n">
        <f aca="false">AVERAGE(B30:B35)</f>
        <v>39016.8125</v>
      </c>
      <c r="C36" s="37" t="n">
        <f aca="false">AVERAGE(C30:C35)</f>
        <v>43949.3775</v>
      </c>
      <c r="D36" s="37" t="n">
        <f aca="false">AVERAGE(D30:D35)</f>
        <v>64550.4316666667</v>
      </c>
      <c r="E36" s="37" t="n">
        <f aca="false">AVERAGE(E30:E35)</f>
        <v>56545.3216666667</v>
      </c>
      <c r="F36" s="38"/>
      <c r="G36" s="37" t="n">
        <f aca="false">AVERAGE(G30:G35)</f>
        <v>66999.9916666667</v>
      </c>
      <c r="H36" s="37" t="n">
        <f aca="false">AVERAGE(H30:H35)</f>
        <v>64163.8916666667</v>
      </c>
      <c r="I36" s="37" t="n">
        <f aca="false">AVERAGE(I30:I35)</f>
        <v>67542.665</v>
      </c>
      <c r="J36" s="37" t="n">
        <f aca="false">AVERAGE(J30:J35)</f>
        <v>58862.0783333333</v>
      </c>
      <c r="K36" s="37" t="n">
        <f aca="false">AVERAGE(K30:K35)</f>
        <v>44119.852</v>
      </c>
      <c r="L36" s="37" t="n">
        <f aca="false">AVERAGE(L30:L35)</f>
        <v>65933.695</v>
      </c>
      <c r="M36" s="37" t="n">
        <f aca="false">AVERAGE(M30:M35)</f>
        <v>52335.65</v>
      </c>
      <c r="N36" s="37" t="n">
        <f aca="false">AVERAGE(N30:N35)</f>
        <v>58009.2375</v>
      </c>
      <c r="O36" s="37" t="n">
        <f aca="false">AVERAGE(O30:O35)</f>
        <v>57191.3825</v>
      </c>
      <c r="P36" s="37" t="n">
        <f aca="false">AVERAGE(P30:P35)</f>
        <v>55596.8225</v>
      </c>
      <c r="Q36" s="37" t="n">
        <f aca="false">AVERAGE(Q30:Q35)</f>
        <v>45084.1525</v>
      </c>
      <c r="R36" s="39" t="n">
        <f aca="false">AVERAGE(R30:R35)</f>
        <v>75611.115</v>
      </c>
      <c r="S36" s="2"/>
      <c r="T36" s="14" t="s">
        <v>22</v>
      </c>
      <c r="U36" s="15" t="n">
        <f aca="false">(B36)</f>
        <v>39016.8125</v>
      </c>
      <c r="V36" s="15" t="n">
        <f aca="false">(C36)</f>
        <v>43949.3775</v>
      </c>
      <c r="W36" s="15" t="n">
        <f aca="false">(D36)</f>
        <v>64550.4316666667</v>
      </c>
      <c r="X36" s="15" t="n">
        <f aca="false">(E36)</f>
        <v>56545.3216666667</v>
      </c>
      <c r="Y36" s="15" t="n">
        <f aca="false">AVERAGE(G36:L36)</f>
        <v>61270.3622777778</v>
      </c>
      <c r="Z36" s="15" t="n">
        <f aca="false">AVERAGE(M36:R36)</f>
        <v>57304.7266666667</v>
      </c>
      <c r="AA36" s="15" t="n">
        <f aca="false">AVERAGE(B36:E36,G36:R36)</f>
        <v>57219.5298125</v>
      </c>
    </row>
    <row r="37" customFormat="false" ht="15.75" hidden="false" customHeight="false" outlineLevel="0" collapsed="false">
      <c r="A37" s="23" t="s">
        <v>25</v>
      </c>
      <c r="B37" s="24" t="n">
        <f aca="false">STDEV(B30:B33)</f>
        <v>4256.81457121304</v>
      </c>
      <c r="C37" s="24" t="n">
        <f aca="false">STDEV(C30:C33)</f>
        <v>4892.24905714046</v>
      </c>
      <c r="D37" s="24" t="n">
        <f aca="false">STDEV(D30:D35)</f>
        <v>3495.91297486317</v>
      </c>
      <c r="E37" s="24" t="n">
        <f aca="false">STDEV(E30:E35)</f>
        <v>10893.8012437228</v>
      </c>
      <c r="F37" s="24"/>
      <c r="G37" s="24" t="n">
        <f aca="false">STDEV(G30:G35)</f>
        <v>28845.4241041274</v>
      </c>
      <c r="H37" s="24" t="n">
        <f aca="false">STDEV(H30:H35)</f>
        <v>22770.8981180114</v>
      </c>
      <c r="I37" s="24" t="n">
        <f aca="false">STDEV(I30:I35)</f>
        <v>20657.1437711584</v>
      </c>
      <c r="J37" s="24" t="n">
        <f aca="false">STDEV(J30:J35)</f>
        <v>11438.4021683492</v>
      </c>
      <c r="K37" s="24" t="n">
        <f aca="false">STDEV(K30:K35)</f>
        <v>4507.27927491963</v>
      </c>
      <c r="L37" s="24" t="n">
        <f aca="false">STDEV(L30:L35)</f>
        <v>29415.7375778271</v>
      </c>
      <c r="M37" s="24" t="n">
        <f aca="false">STDEV(M30:M33)</f>
        <v>13597.1645033245</v>
      </c>
      <c r="N37" s="24" t="n">
        <f aca="false">STDEV(N30:N33)</f>
        <v>15183.6417381676</v>
      </c>
      <c r="O37" s="24" t="n">
        <f aca="false">STDEV(O30:O33)</f>
        <v>11526.2292377903</v>
      </c>
      <c r="P37" s="24" t="n">
        <f aca="false">STDEV(P30:P33)</f>
        <v>9135.20565222398</v>
      </c>
      <c r="Q37" s="24" t="n">
        <f aca="false">STDEV(Q30:Q33)</f>
        <v>3546.45420499006</v>
      </c>
      <c r="R37" s="25" t="n">
        <f aca="false">STDEV(R30:R33)</f>
        <v>4663.08267477999</v>
      </c>
      <c r="S37" s="6"/>
      <c r="T37" s="14" t="s">
        <v>23</v>
      </c>
      <c r="U37" s="17" t="n">
        <f aca="false">AVERAGE(B37)</f>
        <v>4256.81457121304</v>
      </c>
      <c r="V37" s="17" t="n">
        <f aca="false">AVERAGE(C37)</f>
        <v>4892.24905714046</v>
      </c>
      <c r="W37" s="17" t="n">
        <f aca="false">AVERAGE(I37:S37)</f>
        <v>12367.0340803531</v>
      </c>
      <c r="X37" s="17" t="n">
        <f aca="false">(E37)</f>
        <v>10893.8012437228</v>
      </c>
      <c r="Y37" s="17" t="n">
        <f aca="false">AVERAGE(G37:L37)</f>
        <v>19605.8141690656</v>
      </c>
      <c r="Z37" s="17" t="n">
        <f aca="false">AVERAGE(M37:R37)</f>
        <v>9608.62966854606</v>
      </c>
      <c r="AA37" s="17" t="n">
        <f aca="false">AVERAGE(I37:S37)</f>
        <v>12367.0340803531</v>
      </c>
    </row>
    <row r="38" customFormat="false" ht="15.75" hidden="false" customHeight="false" outlineLevel="0" collapsed="false">
      <c r="A38" s="27" t="s">
        <v>24</v>
      </c>
      <c r="B38" s="28" t="n">
        <f aca="false">(B37/B36)</f>
        <v>0.109102058791016</v>
      </c>
      <c r="C38" s="28" t="n">
        <f aca="false">(C37/C36)</f>
        <v>0.111315548374729</v>
      </c>
      <c r="D38" s="28" t="n">
        <f aca="false">(D37/D36)</f>
        <v>0.0541578558748575</v>
      </c>
      <c r="E38" s="28" t="n">
        <f aca="false">(E37/E36)</f>
        <v>0.192656101736259</v>
      </c>
      <c r="F38" s="29"/>
      <c r="G38" s="28" t="n">
        <f aca="false">(G37/G36)</f>
        <v>0.430528771520406</v>
      </c>
      <c r="H38" s="28" t="n">
        <f aca="false">(H37/H36)</f>
        <v>0.354886487189819</v>
      </c>
      <c r="I38" s="28" t="n">
        <f aca="false">(I37/I36)</f>
        <v>0.305838447019502</v>
      </c>
      <c r="J38" s="28" t="n">
        <f aca="false">(J37/J36)</f>
        <v>0.194325489215214</v>
      </c>
      <c r="K38" s="28" t="n">
        <f aca="false">(K37/K36)</f>
        <v>0.102159891083035</v>
      </c>
      <c r="L38" s="28" t="n">
        <f aca="false">(L37/L36)</f>
        <v>0.446141196513059</v>
      </c>
      <c r="M38" s="28" t="n">
        <f aca="false">(M37/M36)</f>
        <v>0.259806928992464</v>
      </c>
      <c r="N38" s="28" t="n">
        <f aca="false">(N37/N36)</f>
        <v>0.261745239077959</v>
      </c>
      <c r="O38" s="28" t="n">
        <f aca="false">(O37/O36)</f>
        <v>0.201537866964316</v>
      </c>
      <c r="P38" s="28" t="n">
        <f aca="false">(P37/P36)</f>
        <v>0.164311650224687</v>
      </c>
      <c r="Q38" s="28" t="n">
        <f aca="false">(Q37/Q36)</f>
        <v>0.0786629892840962</v>
      </c>
      <c r="R38" s="30" t="n">
        <f aca="false">(R37/R36)</f>
        <v>0.0616719205209445</v>
      </c>
      <c r="S38" s="6"/>
      <c r="T38" s="21" t="s">
        <v>24</v>
      </c>
      <c r="U38" s="22" t="n">
        <f aca="false">AVERAGE(B38)</f>
        <v>0.109102058791016</v>
      </c>
      <c r="V38" s="22" t="n">
        <f aca="false">AVERAGE(C38)</f>
        <v>0.111315548374729</v>
      </c>
      <c r="W38" s="22" t="n">
        <f aca="false">AVERAGE(I38:S38)</f>
        <v>0.207620161889528</v>
      </c>
      <c r="X38" s="22" t="n">
        <f aca="false">(E38)</f>
        <v>0.192656101736259</v>
      </c>
      <c r="Y38" s="22" t="n">
        <f aca="false">AVERAGE(G38:L38)</f>
        <v>0.305646713756839</v>
      </c>
      <c r="Z38" s="22" t="n">
        <f aca="false">AVERAGE(M38:R38)</f>
        <v>0.171289432510744</v>
      </c>
      <c r="AA38" s="22" t="n">
        <f aca="false">AVERAGE(I38:S38)</f>
        <v>0.207620161889528</v>
      </c>
    </row>
    <row r="39" customFormat="false" ht="15.75" hidden="false" customHeight="false" outlineLevel="0" collapsed="false">
      <c r="S39" s="6"/>
      <c r="T39" s="6"/>
      <c r="U39" s="6"/>
      <c r="V39" s="6"/>
      <c r="W39" s="6"/>
      <c r="X39" s="6"/>
      <c r="Y39" s="6"/>
      <c r="Z39" s="6"/>
      <c r="AA39" s="6"/>
    </row>
    <row r="40" customFormat="false" ht="19.7" hidden="false" customHeight="false" outlineLevel="0" collapsed="false">
      <c r="A40" s="1" t="s">
        <v>29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6"/>
      <c r="T40" s="6"/>
      <c r="U40" s="6"/>
      <c r="V40" s="6"/>
      <c r="W40" s="6"/>
      <c r="X40" s="6"/>
      <c r="Y40" s="6"/>
      <c r="Z40" s="6"/>
      <c r="AA40" s="6"/>
    </row>
    <row r="41" customFormat="false" ht="15.75" hidden="false" customHeight="false" outlineLevel="0" collapsed="false">
      <c r="A41" s="6"/>
      <c r="B41" s="3" t="s">
        <v>1</v>
      </c>
      <c r="C41" s="3" t="s">
        <v>2</v>
      </c>
      <c r="D41" s="3" t="s">
        <v>3</v>
      </c>
      <c r="E41" s="3" t="s">
        <v>4</v>
      </c>
      <c r="F41" s="2"/>
      <c r="G41" s="32" t="s">
        <v>5</v>
      </c>
      <c r="H41" s="32"/>
      <c r="I41" s="32"/>
      <c r="J41" s="32"/>
      <c r="K41" s="32"/>
      <c r="L41" s="32"/>
      <c r="M41" s="32" t="s">
        <v>6</v>
      </c>
      <c r="N41" s="32"/>
      <c r="O41" s="32"/>
      <c r="P41" s="32"/>
      <c r="Q41" s="32"/>
      <c r="R41" s="32"/>
      <c r="S41" s="6"/>
      <c r="T41" s="6"/>
      <c r="U41" s="6"/>
      <c r="V41" s="6"/>
      <c r="W41" s="6"/>
      <c r="X41" s="6"/>
      <c r="Y41" s="6"/>
      <c r="Z41" s="6"/>
      <c r="AA41" s="6"/>
    </row>
    <row r="42" customFormat="false" ht="15.75" hidden="false" customHeight="false" outlineLevel="0" collapsed="false">
      <c r="A42" s="6"/>
      <c r="B42" s="3"/>
      <c r="C42" s="3"/>
      <c r="D42" s="3"/>
      <c r="E42" s="3"/>
      <c r="F42" s="6"/>
      <c r="G42" s="4" t="s">
        <v>7</v>
      </c>
      <c r="H42" s="4" t="s">
        <v>8</v>
      </c>
      <c r="I42" s="31" t="s">
        <v>9</v>
      </c>
      <c r="J42" s="31" t="s">
        <v>10</v>
      </c>
      <c r="K42" s="31" t="s">
        <v>11</v>
      </c>
      <c r="L42" s="4" t="s">
        <v>12</v>
      </c>
      <c r="M42" s="4" t="s">
        <v>7</v>
      </c>
      <c r="N42" s="4" t="s">
        <v>8</v>
      </c>
      <c r="O42" s="31" t="s">
        <v>9</v>
      </c>
      <c r="P42" s="31" t="s">
        <v>10</v>
      </c>
      <c r="Q42" s="31" t="s">
        <v>11</v>
      </c>
      <c r="R42" s="4" t="s">
        <v>12</v>
      </c>
      <c r="S42" s="6"/>
      <c r="T42" s="6"/>
      <c r="U42" s="6"/>
      <c r="V42" s="6"/>
      <c r="W42" s="6"/>
      <c r="X42" s="6"/>
      <c r="Y42" s="6"/>
      <c r="Z42" s="6"/>
      <c r="AA42" s="6"/>
    </row>
    <row r="43" customFormat="false" ht="15.75" hidden="false" customHeight="false" outlineLevel="0" collapsed="false">
      <c r="A43" s="6"/>
      <c r="B43" s="26" t="n">
        <v>35836.59</v>
      </c>
      <c r="C43" s="26" t="n">
        <v>40173.16</v>
      </c>
      <c r="D43" s="26" t="n">
        <v>66008.56</v>
      </c>
      <c r="E43" s="26" t="n">
        <v>54647.08</v>
      </c>
      <c r="F43" s="2"/>
      <c r="G43" s="41" t="n">
        <v>38737.49</v>
      </c>
      <c r="H43" s="41" t="n">
        <v>40904.08</v>
      </c>
      <c r="I43" s="41" t="n">
        <v>44400.99</v>
      </c>
      <c r="J43" s="41" t="n">
        <v>46369.19</v>
      </c>
      <c r="K43" s="41" t="n">
        <v>44726.75</v>
      </c>
      <c r="L43" s="41" t="n">
        <v>38669.96</v>
      </c>
      <c r="M43" s="41" t="n">
        <v>73610.49</v>
      </c>
      <c r="N43" s="41" t="n">
        <v>79831.51</v>
      </c>
      <c r="O43" s="41" t="n">
        <v>72023.44</v>
      </c>
      <c r="P43" s="41" t="n">
        <v>71793.9</v>
      </c>
      <c r="Q43" s="41" t="n">
        <v>56584.09</v>
      </c>
      <c r="R43" s="41" t="n">
        <v>73650.46</v>
      </c>
      <c r="S43" s="4"/>
      <c r="T43" s="6"/>
      <c r="U43" s="6"/>
      <c r="V43" s="6"/>
      <c r="W43" s="6"/>
      <c r="X43" s="6"/>
      <c r="Y43" s="6"/>
      <c r="Z43" s="6"/>
      <c r="AA43" s="6"/>
    </row>
    <row r="44" customFormat="false" ht="15.75" hidden="false" customHeight="false" outlineLevel="0" collapsed="false">
      <c r="A44" s="6"/>
      <c r="B44" s="26" t="n">
        <v>36134.05</v>
      </c>
      <c r="C44" s="26" t="n">
        <v>43602.31</v>
      </c>
      <c r="D44" s="26" t="n">
        <v>73494.38</v>
      </c>
      <c r="E44" s="26" t="n">
        <v>60934.71</v>
      </c>
      <c r="F44" s="2"/>
      <c r="G44" s="41" t="n">
        <v>37827.41</v>
      </c>
      <c r="H44" s="41" t="n">
        <v>45456.12</v>
      </c>
      <c r="I44" s="41" t="n">
        <v>43574.26</v>
      </c>
      <c r="J44" s="41" t="n">
        <v>49668.48</v>
      </c>
      <c r="K44" s="41" t="n">
        <v>44468.47</v>
      </c>
      <c r="L44" s="41" t="n">
        <v>35532.77</v>
      </c>
      <c r="M44" s="41" t="n">
        <v>64529.88</v>
      </c>
      <c r="N44" s="41" t="n">
        <v>71034.28</v>
      </c>
      <c r="O44" s="41" t="n">
        <v>73992.68</v>
      </c>
      <c r="P44" s="41" t="n">
        <v>70457.55</v>
      </c>
      <c r="Q44" s="41" t="n">
        <v>58289.31</v>
      </c>
      <c r="R44" s="41" t="n">
        <v>88696.77</v>
      </c>
      <c r="S44" s="26"/>
      <c r="T44" s="6"/>
      <c r="U44" s="6"/>
      <c r="V44" s="6"/>
      <c r="W44" s="6"/>
      <c r="X44" s="6"/>
      <c r="Y44" s="6"/>
      <c r="Z44" s="6"/>
      <c r="AA44" s="6"/>
    </row>
    <row r="45" customFormat="false" ht="15.75" hidden="false" customHeight="false" outlineLevel="0" collapsed="false">
      <c r="A45" s="6"/>
      <c r="B45" s="26" t="n">
        <v>43808.36</v>
      </c>
      <c r="C45" s="26" t="n">
        <v>47016.63</v>
      </c>
      <c r="D45" s="26" t="n">
        <v>71781.25</v>
      </c>
      <c r="E45" s="26" t="n">
        <v>60931.05</v>
      </c>
      <c r="F45" s="2"/>
      <c r="G45" s="41" t="n">
        <v>113238.7</v>
      </c>
      <c r="H45" s="41" t="n">
        <v>62177.02</v>
      </c>
      <c r="I45" s="41" t="n">
        <v>83122.53</v>
      </c>
      <c r="J45" s="41" t="n">
        <v>68298.09</v>
      </c>
      <c r="K45" s="41" t="n">
        <v>55881.14</v>
      </c>
      <c r="L45" s="41" t="n">
        <v>68306.49</v>
      </c>
      <c r="M45" s="41" t="n">
        <v>42856.85</v>
      </c>
      <c r="N45" s="41" t="n">
        <v>47056.37</v>
      </c>
      <c r="O45" s="41" t="n">
        <v>50632.6</v>
      </c>
      <c r="P45" s="41" t="n">
        <v>51258.27</v>
      </c>
      <c r="Q45" s="41" t="n">
        <v>49061.53</v>
      </c>
      <c r="R45" s="41" t="n">
        <v>86344.92</v>
      </c>
      <c r="S45" s="26"/>
      <c r="T45" s="6"/>
      <c r="U45" s="6"/>
      <c r="V45" s="6"/>
      <c r="W45" s="6"/>
      <c r="X45" s="6"/>
      <c r="Y45" s="6"/>
      <c r="Z45" s="6"/>
      <c r="AA45" s="6"/>
    </row>
    <row r="46" customFormat="false" ht="15.75" hidden="false" customHeight="false" outlineLevel="0" collapsed="false">
      <c r="A46" s="6"/>
      <c r="B46" s="26" t="n">
        <v>43969.31</v>
      </c>
      <c r="C46" s="26" t="n">
        <v>53200.37</v>
      </c>
      <c r="D46" s="26" t="n">
        <v>76303.3</v>
      </c>
      <c r="E46" s="26" t="n">
        <v>62181.27</v>
      </c>
      <c r="F46" s="2"/>
      <c r="G46" s="41" t="n">
        <v>51778.16</v>
      </c>
      <c r="H46" s="41" t="n">
        <v>63385.47</v>
      </c>
      <c r="I46" s="41" t="n">
        <v>106451.7</v>
      </c>
      <c r="J46" s="41" t="n">
        <v>75171.87</v>
      </c>
      <c r="K46" s="41" t="n">
        <v>54556.84</v>
      </c>
      <c r="L46" s="41" t="n">
        <v>54937.78</v>
      </c>
      <c r="M46" s="41" t="n">
        <v>39945.58</v>
      </c>
      <c r="N46" s="41" t="n">
        <v>45880.91</v>
      </c>
      <c r="O46" s="41" t="n">
        <v>48681.03</v>
      </c>
      <c r="P46" s="41" t="n">
        <v>51546.63</v>
      </c>
      <c r="Q46" s="41" t="n">
        <v>47529.67</v>
      </c>
      <c r="R46" s="41" t="n">
        <v>78062.34</v>
      </c>
      <c r="S46" s="26"/>
      <c r="T46" s="6"/>
      <c r="U46" s="6"/>
      <c r="V46" s="6"/>
      <c r="W46" s="6"/>
      <c r="X46" s="6"/>
      <c r="Y46" s="6"/>
      <c r="Z46" s="6"/>
      <c r="AA46" s="6"/>
    </row>
    <row r="47" customFormat="false" ht="15.75" hidden="false" customHeight="false" outlineLevel="0" collapsed="false">
      <c r="A47" s="6"/>
      <c r="B47" s="26"/>
      <c r="C47" s="26"/>
      <c r="D47" s="26" t="n">
        <v>67294.04</v>
      </c>
      <c r="E47" s="26" t="n">
        <v>75891.41</v>
      </c>
      <c r="F47" s="2"/>
      <c r="G47" s="41" t="n">
        <v>97780.43</v>
      </c>
      <c r="H47" s="41" t="n">
        <v>97712.98</v>
      </c>
      <c r="I47" s="41" t="n">
        <v>87954.8</v>
      </c>
      <c r="J47" s="41" t="n">
        <v>81262.38</v>
      </c>
      <c r="K47" s="41" t="n">
        <v>57507.5</v>
      </c>
      <c r="L47" s="41" t="n">
        <v>105484.6</v>
      </c>
      <c r="M47" s="11"/>
      <c r="N47" s="11"/>
      <c r="O47" s="11"/>
      <c r="P47" s="11"/>
      <c r="Q47" s="11"/>
      <c r="R47" s="11"/>
      <c r="S47" s="26"/>
      <c r="T47" s="11"/>
      <c r="U47" s="12" t="s">
        <v>13</v>
      </c>
      <c r="V47" s="12"/>
      <c r="W47" s="12"/>
      <c r="X47" s="12"/>
      <c r="Y47" s="12" t="s">
        <v>14</v>
      </c>
      <c r="Z47" s="12"/>
      <c r="AA47" s="11"/>
    </row>
    <row r="48" customFormat="false" ht="15.75" hidden="false" customHeight="false" outlineLevel="0" collapsed="false">
      <c r="A48" s="2"/>
      <c r="B48" s="26"/>
      <c r="C48" s="26"/>
      <c r="D48" s="26" t="n">
        <v>73145.8</v>
      </c>
      <c r="E48" s="26" t="n">
        <v>78143.95</v>
      </c>
      <c r="F48" s="2"/>
      <c r="G48" s="41" t="n">
        <v>90785.29</v>
      </c>
      <c r="H48" s="41" t="n">
        <v>100678.8</v>
      </c>
      <c r="I48" s="41" t="n">
        <v>87430.02</v>
      </c>
      <c r="J48" s="41" t="n">
        <v>74987.18</v>
      </c>
      <c r="K48" s="42"/>
      <c r="L48" s="41" t="n">
        <v>106933.9</v>
      </c>
      <c r="M48" s="11"/>
      <c r="N48" s="11"/>
      <c r="O48" s="11"/>
      <c r="P48" s="11"/>
      <c r="Q48" s="11"/>
      <c r="R48" s="11"/>
      <c r="S48" s="4"/>
      <c r="T48" s="11"/>
      <c r="U48" s="12" t="s">
        <v>15</v>
      </c>
      <c r="V48" s="12" t="s">
        <v>16</v>
      </c>
      <c r="W48" s="12" t="s">
        <v>17</v>
      </c>
      <c r="X48" s="12" t="s">
        <v>18</v>
      </c>
      <c r="Y48" s="12" t="s">
        <v>19</v>
      </c>
      <c r="Z48" s="13" t="s">
        <v>20</v>
      </c>
      <c r="AA48" s="12" t="s">
        <v>21</v>
      </c>
    </row>
    <row r="49" customFormat="false" ht="15.75" hidden="false" customHeight="false" outlineLevel="0" collapsed="false">
      <c r="A49" s="36" t="s">
        <v>22</v>
      </c>
      <c r="B49" s="37" t="n">
        <f aca="false">AVERAGE(B43:B48)</f>
        <v>39937.0775</v>
      </c>
      <c r="C49" s="37" t="n">
        <f aca="false">AVERAGE(C43:C48)</f>
        <v>45998.1175</v>
      </c>
      <c r="D49" s="37" t="n">
        <f aca="false">AVERAGE(D43:D48)</f>
        <v>71337.8883333333</v>
      </c>
      <c r="E49" s="37" t="n">
        <f aca="false">AVERAGE(E43:E48)</f>
        <v>65454.9116666667</v>
      </c>
      <c r="F49" s="38"/>
      <c r="G49" s="37" t="n">
        <f aca="false">AVERAGE(G43:G48)</f>
        <v>71691.2466666667</v>
      </c>
      <c r="H49" s="37" t="n">
        <f aca="false">AVERAGE(H43:H48)</f>
        <v>68385.745</v>
      </c>
      <c r="I49" s="37" t="n">
        <f aca="false">AVERAGE(I43:I48)</f>
        <v>75489.05</v>
      </c>
      <c r="J49" s="37" t="n">
        <f aca="false">AVERAGE(J43:J48)</f>
        <v>65959.5316666667</v>
      </c>
      <c r="K49" s="37" t="n">
        <f aca="false">AVERAGE(K43:K48)</f>
        <v>51428.14</v>
      </c>
      <c r="L49" s="37" t="n">
        <f aca="false">AVERAGE(L43:L48)</f>
        <v>68310.9166666667</v>
      </c>
      <c r="M49" s="37" t="n">
        <f aca="false">AVERAGE(M43:M48)</f>
        <v>55235.7</v>
      </c>
      <c r="N49" s="37" t="n">
        <f aca="false">AVERAGE(N43:N48)</f>
        <v>60950.7675</v>
      </c>
      <c r="O49" s="37" t="n">
        <f aca="false">AVERAGE(O43:O48)</f>
        <v>61332.4375</v>
      </c>
      <c r="P49" s="37" t="n">
        <f aca="false">AVERAGE(P43:P48)</f>
        <v>61264.0875</v>
      </c>
      <c r="Q49" s="37" t="n">
        <f aca="false">AVERAGE(Q43:Q48)</f>
        <v>52866.15</v>
      </c>
      <c r="R49" s="39" t="n">
        <f aca="false">AVERAGE(R43:R48)</f>
        <v>81688.6225</v>
      </c>
      <c r="S49" s="6"/>
      <c r="T49" s="14" t="s">
        <v>22</v>
      </c>
      <c r="U49" s="15" t="n">
        <f aca="false">(B49)</f>
        <v>39937.0775</v>
      </c>
      <c r="V49" s="15" t="n">
        <f aca="false">(C49)</f>
        <v>45998.1175</v>
      </c>
      <c r="W49" s="15" t="n">
        <f aca="false">(D49)</f>
        <v>71337.8883333333</v>
      </c>
      <c r="X49" s="15" t="n">
        <f aca="false">(E49)</f>
        <v>65454.9116666667</v>
      </c>
      <c r="Y49" s="15" t="n">
        <f aca="false">AVERAGE(G49:L49)</f>
        <v>66877.4383333333</v>
      </c>
      <c r="Z49" s="15" t="n">
        <f aca="false">AVERAGE(M49:R49)</f>
        <v>62222.9608333333</v>
      </c>
      <c r="AA49" s="15" t="n">
        <f aca="false">AVERAGE(B49:E49,G49:R49)</f>
        <v>62333.149375</v>
      </c>
    </row>
    <row r="50" customFormat="false" ht="15.75" hidden="false" customHeight="false" outlineLevel="0" collapsed="false">
      <c r="A50" s="23" t="s">
        <v>25</v>
      </c>
      <c r="B50" s="24" t="n">
        <f aca="false">STDEV(B43:B46)</f>
        <v>4565.18502846179</v>
      </c>
      <c r="C50" s="24" t="n">
        <f aca="false">STDEV(C43:C46)</f>
        <v>5555.17273179617</v>
      </c>
      <c r="D50" s="24" t="n">
        <f aca="false">STDEV(D43:D48)</f>
        <v>3937.64735133261</v>
      </c>
      <c r="E50" s="24" t="n">
        <f aca="false">STDEV(E43:E48)</f>
        <v>9363.28675059867</v>
      </c>
      <c r="F50" s="24"/>
      <c r="G50" s="24" t="n">
        <f aca="false">STDEV(G43:G48)</f>
        <v>32865.3598462811</v>
      </c>
      <c r="H50" s="24" t="n">
        <f aca="false">STDEV(H43:H48)</f>
        <v>25485.2457080262</v>
      </c>
      <c r="I50" s="24" t="n">
        <f aca="false">STDEV(I43:I48)</f>
        <v>25690.3043767255</v>
      </c>
      <c r="J50" s="24" t="n">
        <f aca="false">STDEV(J43:J48)</f>
        <v>14527.157225089</v>
      </c>
      <c r="K50" s="24" t="n">
        <f aca="false">STDEV(K43:K48)</f>
        <v>6323.01797286312</v>
      </c>
      <c r="L50" s="24" t="n">
        <f aca="false">STDEV(L43:L48)</f>
        <v>31640.0113433966</v>
      </c>
      <c r="M50" s="24" t="n">
        <f aca="false">STDEV(M43:M46)</f>
        <v>16442.2057153068</v>
      </c>
      <c r="N50" s="24" t="n">
        <f aca="false">STDEV(N43:N46)</f>
        <v>17110.5673843902</v>
      </c>
      <c r="O50" s="24" t="n">
        <f aca="false">STDEV(O43:O46)</f>
        <v>13529.275773562</v>
      </c>
      <c r="P50" s="24" t="n">
        <f aca="false">STDEV(P43:P46)</f>
        <v>11400.9073927133</v>
      </c>
      <c r="Q50" s="24" t="n">
        <f aca="false">STDEV(Q43:Q46)</f>
        <v>5359.94074482172</v>
      </c>
      <c r="R50" s="25" t="n">
        <f aca="false">STDEV(R43:R46)</f>
        <v>7036.97896677438</v>
      </c>
      <c r="S50" s="4"/>
      <c r="T50" s="14" t="s">
        <v>23</v>
      </c>
      <c r="U50" s="17" t="n">
        <f aca="false">AVERAGE(B50)</f>
        <v>4565.18502846179</v>
      </c>
      <c r="V50" s="17" t="n">
        <f aca="false">AVERAGE(C50)</f>
        <v>5555.17273179617</v>
      </c>
      <c r="W50" s="17" t="n">
        <f aca="false">AVERAGE(I50:S50)</f>
        <v>14906.0366895643</v>
      </c>
      <c r="X50" s="17" t="n">
        <f aca="false">(E50)</f>
        <v>9363.28675059867</v>
      </c>
      <c r="Y50" s="17" t="n">
        <f aca="false">AVERAGE(G50:L50)</f>
        <v>22755.1827453969</v>
      </c>
      <c r="Z50" s="17" t="n">
        <f aca="false">AVERAGE(M50:R50)</f>
        <v>11813.3126629281</v>
      </c>
      <c r="AA50" s="17" t="n">
        <f aca="false">AVERAGE(I50:S50)</f>
        <v>14906.0366895643</v>
      </c>
    </row>
    <row r="51" customFormat="false" ht="15.75" hidden="false" customHeight="false" outlineLevel="0" collapsed="false">
      <c r="A51" s="27" t="s">
        <v>24</v>
      </c>
      <c r="B51" s="28" t="n">
        <f aca="false">(B50/B49)</f>
        <v>0.114309441607533</v>
      </c>
      <c r="C51" s="28" t="n">
        <f aca="false">(C50/C49)</f>
        <v>0.120769566967521</v>
      </c>
      <c r="D51" s="28" t="n">
        <f aca="false">(D50/D49)</f>
        <v>0.0551971391826677</v>
      </c>
      <c r="E51" s="28" t="n">
        <f aca="false">(E50/E49)</f>
        <v>0.143049413897032</v>
      </c>
      <c r="F51" s="29"/>
      <c r="G51" s="28" t="n">
        <f aca="false">(G50/G49)</f>
        <v>0.458429185910113</v>
      </c>
      <c r="H51" s="28" t="n">
        <f aca="false">(H50/H49)</f>
        <v>0.37266897813318</v>
      </c>
      <c r="I51" s="28" t="n">
        <f aca="false">(I50/I49)</f>
        <v>0.340318289562863</v>
      </c>
      <c r="J51" s="28" t="n">
        <f aca="false">(J50/J49)</f>
        <v>0.220243486544197</v>
      </c>
      <c r="K51" s="28" t="n">
        <f aca="false">(K50/K49)</f>
        <v>0.122948603096731</v>
      </c>
      <c r="L51" s="28" t="n">
        <f aca="false">(L50/L49)</f>
        <v>0.463176500731044</v>
      </c>
      <c r="M51" s="28" t="n">
        <f aca="false">(M50/M49)</f>
        <v>0.29767352844821</v>
      </c>
      <c r="N51" s="28" t="n">
        <f aca="false">(N50/N49)</f>
        <v>0.280727677209154</v>
      </c>
      <c r="O51" s="28" t="n">
        <f aca="false">(O50/O49)</f>
        <v>0.22058923996885</v>
      </c>
      <c r="P51" s="28" t="n">
        <f aca="false">(P50/P49)</f>
        <v>0.186094461828283</v>
      </c>
      <c r="Q51" s="28" t="n">
        <f aca="false">(Q50/Q49)</f>
        <v>0.101387007467382</v>
      </c>
      <c r="R51" s="30" t="n">
        <f aca="false">(R50/R49)</f>
        <v>0.0861439298572378</v>
      </c>
      <c r="S51" s="26"/>
      <c r="T51" s="21" t="s">
        <v>24</v>
      </c>
      <c r="U51" s="22" t="n">
        <f aca="false">AVERAGE(B51)</f>
        <v>0.114309441607533</v>
      </c>
      <c r="V51" s="22" t="n">
        <f aca="false">AVERAGE(C51)</f>
        <v>0.120769566967521</v>
      </c>
      <c r="W51" s="22" t="n">
        <f aca="false">AVERAGE(I51:S51)</f>
        <v>0.231930272471395</v>
      </c>
      <c r="X51" s="22" t="n">
        <f aca="false">(E51)</f>
        <v>0.143049413897032</v>
      </c>
      <c r="Y51" s="22" t="n">
        <f aca="false">AVERAGE(G51:L51)</f>
        <v>0.329630840663021</v>
      </c>
      <c r="Z51" s="22" t="n">
        <f aca="false">AVERAGE(M51:R51)</f>
        <v>0.195435974129853</v>
      </c>
      <c r="AA51" s="22" t="n">
        <f aca="false">AVERAGE(I51:S51)</f>
        <v>0.231930272471395</v>
      </c>
    </row>
    <row r="52" customFormat="false" ht="15.75" hidden="false" customHeight="false" outlineLevel="0" collapsed="false">
      <c r="S52" s="26"/>
      <c r="T52" s="6"/>
      <c r="U52" s="6"/>
      <c r="V52" s="6"/>
      <c r="W52" s="6"/>
      <c r="X52" s="6"/>
      <c r="Y52" s="6"/>
      <c r="Z52" s="6"/>
      <c r="AA52" s="6"/>
    </row>
    <row r="53" customFormat="false" ht="19.7" hidden="false" customHeight="false" outlineLevel="0" collapsed="false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6"/>
      <c r="T53" s="6"/>
      <c r="U53" s="6"/>
      <c r="V53" s="6"/>
      <c r="W53" s="6"/>
      <c r="X53" s="6"/>
      <c r="Y53" s="6"/>
      <c r="Z53" s="6"/>
      <c r="AA53" s="6"/>
    </row>
    <row r="54" customFormat="false" ht="15.75" hidden="false" customHeight="false" outlineLevel="0" collapsed="false">
      <c r="A54" s="2"/>
      <c r="B54" s="3" t="s">
        <v>1</v>
      </c>
      <c r="C54" s="3" t="s">
        <v>2</v>
      </c>
      <c r="D54" s="3" t="s">
        <v>3</v>
      </c>
      <c r="E54" s="3" t="s">
        <v>4</v>
      </c>
      <c r="F54" s="4"/>
      <c r="G54" s="32" t="s">
        <v>5</v>
      </c>
      <c r="H54" s="32"/>
      <c r="I54" s="32"/>
      <c r="J54" s="32"/>
      <c r="K54" s="32"/>
      <c r="L54" s="32"/>
      <c r="M54" s="32" t="s">
        <v>6</v>
      </c>
      <c r="N54" s="32"/>
      <c r="O54" s="32"/>
      <c r="P54" s="32"/>
      <c r="Q54" s="32"/>
      <c r="R54" s="32"/>
      <c r="S54" s="26"/>
      <c r="T54" s="6"/>
      <c r="U54" s="6"/>
      <c r="V54" s="6"/>
      <c r="W54" s="6"/>
      <c r="X54" s="6"/>
      <c r="Y54" s="6"/>
      <c r="Z54" s="6"/>
      <c r="AA54" s="6"/>
    </row>
    <row r="55" customFormat="false" ht="15.75" hidden="false" customHeight="false" outlineLevel="0" collapsed="false">
      <c r="A55" s="2"/>
      <c r="B55" s="3"/>
      <c r="C55" s="3"/>
      <c r="D55" s="3"/>
      <c r="E55" s="3"/>
      <c r="F55" s="2"/>
      <c r="G55" s="4" t="s">
        <v>7</v>
      </c>
      <c r="H55" s="4" t="s">
        <v>8</v>
      </c>
      <c r="I55" s="31" t="s">
        <v>9</v>
      </c>
      <c r="J55" s="31" t="s">
        <v>10</v>
      </c>
      <c r="K55" s="31" t="s">
        <v>11</v>
      </c>
      <c r="L55" s="4" t="s">
        <v>12</v>
      </c>
      <c r="M55" s="4" t="s">
        <v>7</v>
      </c>
      <c r="N55" s="4" t="s">
        <v>8</v>
      </c>
      <c r="O55" s="31" t="s">
        <v>9</v>
      </c>
      <c r="P55" s="31" t="s">
        <v>10</v>
      </c>
      <c r="Q55" s="31" t="s">
        <v>11</v>
      </c>
      <c r="R55" s="4" t="s">
        <v>12</v>
      </c>
      <c r="S55" s="4"/>
      <c r="T55" s="6"/>
      <c r="U55" s="6"/>
      <c r="V55" s="6"/>
      <c r="W55" s="6"/>
      <c r="X55" s="6"/>
      <c r="Y55" s="6"/>
      <c r="Z55" s="6"/>
      <c r="AA55" s="6"/>
    </row>
    <row r="56" customFormat="false" ht="15.75" hidden="false" customHeight="false" outlineLevel="0" collapsed="false">
      <c r="A56" s="2"/>
      <c r="B56" s="26" t="n">
        <v>35505.96</v>
      </c>
      <c r="C56" s="26" t="n">
        <v>39456.65</v>
      </c>
      <c r="D56" s="26" t="n">
        <v>62157.52</v>
      </c>
      <c r="E56" s="26" t="n">
        <v>50250.84</v>
      </c>
      <c r="F56" s="2"/>
      <c r="G56" s="41" t="n">
        <v>38450.84</v>
      </c>
      <c r="H56" s="41" t="n">
        <v>40439.41</v>
      </c>
      <c r="I56" s="41" t="n">
        <v>43453.8</v>
      </c>
      <c r="J56" s="41" t="n">
        <v>44905.09</v>
      </c>
      <c r="K56" s="41" t="n">
        <v>41802.77</v>
      </c>
      <c r="L56" s="41" t="n">
        <v>38470.98</v>
      </c>
      <c r="M56" s="41" t="n">
        <v>69610.8</v>
      </c>
      <c r="N56" s="41" t="n">
        <v>77140.23</v>
      </c>
      <c r="O56" s="41" t="n">
        <v>69131.22</v>
      </c>
      <c r="P56" s="41" t="n">
        <v>67675.02</v>
      </c>
      <c r="Q56" s="41" t="n">
        <v>51807</v>
      </c>
      <c r="R56" s="41" t="n">
        <v>72576.59</v>
      </c>
      <c r="S56" s="6"/>
      <c r="T56" s="6"/>
      <c r="U56" s="6"/>
      <c r="V56" s="6"/>
      <c r="W56" s="6"/>
      <c r="X56" s="6"/>
      <c r="Y56" s="6"/>
      <c r="Z56" s="6"/>
      <c r="AA56" s="6"/>
    </row>
    <row r="57" customFormat="false" ht="15.75" hidden="false" customHeight="false" outlineLevel="0" collapsed="false">
      <c r="A57" s="2"/>
      <c r="B57" s="26" t="n">
        <v>35798.85</v>
      </c>
      <c r="C57" s="26" t="n">
        <v>42689.07</v>
      </c>
      <c r="D57" s="26" t="n">
        <v>68585.81</v>
      </c>
      <c r="E57" s="26" t="n">
        <v>55144.17</v>
      </c>
      <c r="F57" s="2"/>
      <c r="G57" s="41" t="n">
        <v>36670.73</v>
      </c>
      <c r="H57" s="41" t="n">
        <v>43902.35</v>
      </c>
      <c r="I57" s="41" t="n">
        <v>42710.15</v>
      </c>
      <c r="J57" s="41" t="n">
        <v>47740.06</v>
      </c>
      <c r="K57" s="41" t="n">
        <v>41658.43</v>
      </c>
      <c r="L57" s="41" t="n">
        <v>35383.07</v>
      </c>
      <c r="M57" s="41" t="n">
        <v>63199.48</v>
      </c>
      <c r="N57" s="41" t="n">
        <v>68933.51</v>
      </c>
      <c r="O57" s="41" t="n">
        <v>70801.87</v>
      </c>
      <c r="P57" s="41" t="n">
        <v>66508.31</v>
      </c>
      <c r="Q57" s="41" t="n">
        <v>53014.18</v>
      </c>
      <c r="R57" s="41" t="n">
        <v>84445.83</v>
      </c>
      <c r="S57" s="6"/>
      <c r="T57" s="6"/>
      <c r="U57" s="6"/>
      <c r="V57" s="6"/>
      <c r="W57" s="6"/>
      <c r="X57" s="6"/>
      <c r="Y57" s="6"/>
      <c r="Z57" s="6"/>
      <c r="AA57" s="6"/>
    </row>
    <row r="58" customFormat="false" ht="15.75" hidden="false" customHeight="false" outlineLevel="0" collapsed="false">
      <c r="A58" s="2"/>
      <c r="B58" s="26" t="n">
        <v>43403.36</v>
      </c>
      <c r="C58" s="26" t="n">
        <v>45970.8</v>
      </c>
      <c r="D58" s="26" t="n">
        <v>67628.87</v>
      </c>
      <c r="E58" s="26" t="n">
        <v>55469.48</v>
      </c>
      <c r="F58" s="2"/>
      <c r="G58" s="41" t="n">
        <v>106361.3</v>
      </c>
      <c r="H58" s="41" t="n">
        <v>60761.03</v>
      </c>
      <c r="I58" s="41" t="n">
        <v>76791.23</v>
      </c>
      <c r="J58" s="41" t="n">
        <v>64690.98</v>
      </c>
      <c r="K58" s="41" t="n">
        <v>51288.09</v>
      </c>
      <c r="L58" s="41" t="n">
        <v>67109.48</v>
      </c>
      <c r="M58" s="41" t="n">
        <v>42475.26</v>
      </c>
      <c r="N58" s="41" t="n">
        <v>46349.43</v>
      </c>
      <c r="O58" s="41" t="n">
        <v>49328.45</v>
      </c>
      <c r="P58" s="41" t="n">
        <v>49332.91</v>
      </c>
      <c r="Q58" s="41" t="n">
        <v>45660.23</v>
      </c>
      <c r="R58" s="41" t="n">
        <v>82302.81</v>
      </c>
      <c r="S58" s="4"/>
      <c r="T58" s="6"/>
      <c r="U58" s="6"/>
      <c r="V58" s="6"/>
      <c r="W58" s="6"/>
      <c r="X58" s="6"/>
      <c r="Y58" s="6"/>
      <c r="Z58" s="6"/>
      <c r="AA58" s="6"/>
    </row>
    <row r="59" customFormat="false" ht="15.75" hidden="false" customHeight="false" outlineLevel="0" collapsed="false">
      <c r="A59" s="4"/>
      <c r="B59" s="26" t="n">
        <v>43425.87</v>
      </c>
      <c r="C59" s="26" t="n">
        <v>51675.16</v>
      </c>
      <c r="D59" s="26" t="n">
        <v>71368.29</v>
      </c>
      <c r="E59" s="26" t="n">
        <v>56398.7</v>
      </c>
      <c r="F59" s="2"/>
      <c r="G59" s="41" t="n">
        <v>51134.21</v>
      </c>
      <c r="H59" s="41" t="n">
        <v>61706.02</v>
      </c>
      <c r="I59" s="41" t="n">
        <v>98295.02</v>
      </c>
      <c r="J59" s="41" t="n">
        <v>69692.02</v>
      </c>
      <c r="K59" s="41" t="n">
        <v>50248.52</v>
      </c>
      <c r="L59" s="41" t="n">
        <v>54407.27</v>
      </c>
      <c r="M59" s="41" t="n">
        <v>39619.52</v>
      </c>
      <c r="N59" s="41" t="n">
        <v>45250.68</v>
      </c>
      <c r="O59" s="41" t="n">
        <v>47534.41</v>
      </c>
      <c r="P59" s="41" t="n">
        <v>49633.27</v>
      </c>
      <c r="Q59" s="41" t="n">
        <v>44370.18</v>
      </c>
      <c r="R59" s="41" t="n">
        <v>74743.96</v>
      </c>
      <c r="S59" s="26"/>
      <c r="T59" s="6"/>
      <c r="U59" s="6"/>
      <c r="V59" s="6"/>
      <c r="W59" s="6"/>
      <c r="X59" s="6"/>
      <c r="Y59" s="6"/>
      <c r="Z59" s="6"/>
      <c r="AA59" s="6"/>
    </row>
    <row r="60" customFormat="false" ht="15.75" hidden="false" customHeight="false" outlineLevel="0" collapsed="false">
      <c r="A60" s="6"/>
      <c r="B60" s="26"/>
      <c r="C60" s="26"/>
      <c r="D60" s="26" t="n">
        <v>65652.62</v>
      </c>
      <c r="E60" s="26" t="n">
        <v>72601.73</v>
      </c>
      <c r="F60" s="2"/>
      <c r="G60" s="41" t="n">
        <v>94694</v>
      </c>
      <c r="H60" s="41" t="n">
        <v>93902.95</v>
      </c>
      <c r="I60" s="41" t="n">
        <v>83705.39</v>
      </c>
      <c r="J60" s="41" t="n">
        <v>75770.41</v>
      </c>
      <c r="K60" s="41" t="n">
        <v>52719.36</v>
      </c>
      <c r="L60" s="41" t="n">
        <v>103018.7</v>
      </c>
      <c r="M60" s="11"/>
      <c r="N60" s="11"/>
      <c r="O60" s="11"/>
      <c r="P60" s="11"/>
      <c r="Q60" s="11"/>
      <c r="R60" s="11"/>
      <c r="S60" s="26"/>
      <c r="T60" s="11"/>
      <c r="U60" s="12" t="s">
        <v>13</v>
      </c>
      <c r="V60" s="12"/>
      <c r="W60" s="12"/>
      <c r="X60" s="12"/>
      <c r="Y60" s="12" t="s">
        <v>14</v>
      </c>
      <c r="Z60" s="12"/>
      <c r="AA60" s="11"/>
    </row>
    <row r="61" customFormat="false" ht="15.75" hidden="false" customHeight="false" outlineLevel="0" collapsed="false">
      <c r="A61" s="6"/>
      <c r="B61" s="26"/>
      <c r="C61" s="26"/>
      <c r="D61" s="26" t="n">
        <v>71031.7</v>
      </c>
      <c r="E61" s="26" t="n">
        <v>74542.27</v>
      </c>
      <c r="F61" s="2"/>
      <c r="G61" s="41" t="n">
        <v>88195.52</v>
      </c>
      <c r="H61" s="41" t="n">
        <v>96661.78</v>
      </c>
      <c r="I61" s="41" t="n">
        <v>82910.63</v>
      </c>
      <c r="J61" s="41" t="n">
        <v>70504.62</v>
      </c>
      <c r="K61" s="42"/>
      <c r="L61" s="41" t="n">
        <v>104208.9</v>
      </c>
      <c r="M61" s="11"/>
      <c r="N61" s="11"/>
      <c r="O61" s="11"/>
      <c r="P61" s="11"/>
      <c r="Q61" s="11"/>
      <c r="R61" s="43"/>
      <c r="S61" s="26"/>
      <c r="T61" s="11"/>
      <c r="U61" s="12" t="s">
        <v>15</v>
      </c>
      <c r="V61" s="12" t="s">
        <v>16</v>
      </c>
      <c r="W61" s="12" t="s">
        <v>17</v>
      </c>
      <c r="X61" s="12" t="s">
        <v>18</v>
      </c>
      <c r="Y61" s="12" t="s">
        <v>19</v>
      </c>
      <c r="Z61" s="13" t="s">
        <v>20</v>
      </c>
      <c r="AA61" s="12" t="s">
        <v>21</v>
      </c>
    </row>
    <row r="62" customFormat="false" ht="15.75" hidden="false" customHeight="false" outlineLevel="0" collapsed="false">
      <c r="A62" s="36" t="s">
        <v>22</v>
      </c>
      <c r="B62" s="37" t="n">
        <f aca="false">AVERAGE(B56:B61)</f>
        <v>39533.51</v>
      </c>
      <c r="C62" s="37" t="n">
        <f aca="false">AVERAGE(C56:C61)</f>
        <v>44947.92</v>
      </c>
      <c r="D62" s="37" t="n">
        <f aca="false">AVERAGE(D56:D61)</f>
        <v>67737.4683333333</v>
      </c>
      <c r="E62" s="37" t="n">
        <f aca="false">AVERAGE(E56:E61)</f>
        <v>60734.5316666667</v>
      </c>
      <c r="F62" s="38"/>
      <c r="G62" s="37" t="n">
        <f aca="false">AVERAGE(G56:G61)</f>
        <v>69251.1</v>
      </c>
      <c r="H62" s="37" t="n">
        <f aca="false">AVERAGE(H56:H61)</f>
        <v>66228.9233333333</v>
      </c>
      <c r="I62" s="37" t="n">
        <f aca="false">AVERAGE(I56:I61)</f>
        <v>71311.0366666667</v>
      </c>
      <c r="J62" s="37" t="n">
        <f aca="false">AVERAGE(J56:J61)</f>
        <v>62217.1966666667</v>
      </c>
      <c r="K62" s="37" t="n">
        <f aca="false">AVERAGE(K56:K61)</f>
        <v>47543.434</v>
      </c>
      <c r="L62" s="37" t="n">
        <f aca="false">AVERAGE(L56:L61)</f>
        <v>67099.7333333333</v>
      </c>
      <c r="M62" s="37" t="n">
        <f aca="false">AVERAGE(M56:M61)</f>
        <v>53726.265</v>
      </c>
      <c r="N62" s="37" t="n">
        <f aca="false">AVERAGE(N56:N61)</f>
        <v>59418.4625</v>
      </c>
      <c r="O62" s="37" t="n">
        <f aca="false">AVERAGE(O56:O61)</f>
        <v>59198.9875</v>
      </c>
      <c r="P62" s="37" t="n">
        <f aca="false">AVERAGE(P56:P61)</f>
        <v>58287.3775</v>
      </c>
      <c r="Q62" s="37" t="n">
        <f aca="false">AVERAGE(Q56:Q61)</f>
        <v>48712.8975</v>
      </c>
      <c r="R62" s="39" t="n">
        <f aca="false">AVERAGE(R56:R61)</f>
        <v>78517.2975</v>
      </c>
      <c r="S62" s="26"/>
      <c r="T62" s="14" t="s">
        <v>22</v>
      </c>
      <c r="U62" s="15" t="n">
        <f aca="false">(B62)</f>
        <v>39533.51</v>
      </c>
      <c r="V62" s="15" t="n">
        <f aca="false">(C62)</f>
        <v>44947.92</v>
      </c>
      <c r="W62" s="15" t="n">
        <f aca="false">(D62)</f>
        <v>67737.4683333333</v>
      </c>
      <c r="X62" s="15" t="n">
        <f aca="false">(E62)</f>
        <v>60734.5316666667</v>
      </c>
      <c r="Y62" s="15" t="n">
        <f aca="false">AVERAGE(G62:L62)</f>
        <v>63941.904</v>
      </c>
      <c r="Z62" s="15" t="n">
        <f aca="false">AVERAGE(M62:R62)</f>
        <v>59643.5479166667</v>
      </c>
      <c r="AA62" s="15" t="n">
        <f aca="false">AVERAGE(B62:E62,G62:R62)</f>
        <v>59654.13384375</v>
      </c>
    </row>
    <row r="63" customFormat="false" ht="15.75" hidden="false" customHeight="false" outlineLevel="0" collapsed="false">
      <c r="A63" s="23" t="s">
        <v>25</v>
      </c>
      <c r="B63" s="24" t="n">
        <f aca="false">STDEV(B56:B59)</f>
        <v>4483.11832360022</v>
      </c>
      <c r="C63" s="24" t="n">
        <f aca="false">STDEV(C56:C59)</f>
        <v>5214.03525903562</v>
      </c>
      <c r="D63" s="24" t="n">
        <f aca="false">STDEV(D56:D61)</f>
        <v>3471.27415816969</v>
      </c>
      <c r="E63" s="24" t="n">
        <f aca="false">STDEV(E56:E61)</f>
        <v>10189.8397826922</v>
      </c>
      <c r="F63" s="24"/>
      <c r="G63" s="24" t="n">
        <f aca="false">STDEV(G56:G61)</f>
        <v>30730.3022512406</v>
      </c>
      <c r="H63" s="24" t="n">
        <f aca="false">STDEV(H56:H61)</f>
        <v>24107.8406485837</v>
      </c>
      <c r="I63" s="24" t="n">
        <f aca="false">STDEV(I56:I61)</f>
        <v>22979.8815853204</v>
      </c>
      <c r="J63" s="24" t="n">
        <f aca="false">STDEV(J56:J61)</f>
        <v>12834.7971414661</v>
      </c>
      <c r="K63" s="24" t="n">
        <f aca="false">STDEV(K56:K61)</f>
        <v>5378.63003059608</v>
      </c>
      <c r="L63" s="24" t="n">
        <f aca="false">STDEV(L56:L61)</f>
        <v>30508.7311698862</v>
      </c>
      <c r="M63" s="24" t="n">
        <f aca="false">STDEV(M56:M59)</f>
        <v>14918.060895075</v>
      </c>
      <c r="N63" s="24" t="n">
        <f aca="false">STDEV(N56:N59)</f>
        <v>16084.3904008895</v>
      </c>
      <c r="O63" s="24" t="n">
        <f aca="false">STDEV(O56:O59)</f>
        <v>12473.518663356</v>
      </c>
      <c r="P63" s="24" t="n">
        <f aca="false">STDEV(P56:P59)</f>
        <v>10178.2059274949</v>
      </c>
      <c r="Q63" s="24" t="n">
        <f aca="false">STDEV(Q56:Q59)</f>
        <v>4330.22230282599</v>
      </c>
      <c r="R63" s="25" t="n">
        <f aca="false">STDEV(R56:R59)</f>
        <v>5744.78557710309</v>
      </c>
      <c r="S63" s="26"/>
      <c r="T63" s="14" t="s">
        <v>23</v>
      </c>
      <c r="U63" s="17" t="n">
        <f aca="false">AVERAGE(B63)</f>
        <v>4483.11832360022</v>
      </c>
      <c r="V63" s="17" t="n">
        <f aca="false">AVERAGE(C63)</f>
        <v>5214.03525903562</v>
      </c>
      <c r="W63" s="17" t="n">
        <f aca="false">AVERAGE(I63:S63)</f>
        <v>13543.1223694013</v>
      </c>
      <c r="X63" s="17" t="n">
        <f aca="false">(E63)</f>
        <v>10189.8397826922</v>
      </c>
      <c r="Y63" s="17" t="n">
        <f aca="false">AVERAGE(G63:L63)</f>
        <v>21090.0304711822</v>
      </c>
      <c r="Z63" s="17" t="n">
        <f aca="false">AVERAGE(M63:R63)</f>
        <v>10621.5306277907</v>
      </c>
      <c r="AA63" s="17" t="n">
        <f aca="false">AVERAGE(I63:S63)</f>
        <v>13543.1223694013</v>
      </c>
    </row>
    <row r="64" customFormat="false" ht="15.75" hidden="false" customHeight="false" outlineLevel="0" collapsed="false">
      <c r="A64" s="27" t="s">
        <v>24</v>
      </c>
      <c r="B64" s="28" t="n">
        <f aca="false">(B63/B62)</f>
        <v>0.113400462635375</v>
      </c>
      <c r="C64" s="28" t="n">
        <f aca="false">(C63/C62)</f>
        <v>0.11600170283821</v>
      </c>
      <c r="D64" s="28" t="n">
        <f aca="false">(D63/D62)</f>
        <v>0.0512459978735504</v>
      </c>
      <c r="E64" s="28" t="n">
        <f aca="false">(E63/E62)</f>
        <v>0.167776707962741</v>
      </c>
      <c r="F64" s="29"/>
      <c r="G64" s="28" t="n">
        <f aca="false">(G63/G62)</f>
        <v>0.443751828508725</v>
      </c>
      <c r="H64" s="28" t="n">
        <f aca="false">(H63/H62)</f>
        <v>0.364007739145144</v>
      </c>
      <c r="I64" s="28" t="n">
        <f aca="false">(I63/I62)</f>
        <v>0.32224859796579</v>
      </c>
      <c r="J64" s="28" t="n">
        <f aca="false">(J63/J62)</f>
        <v>0.20629018710421</v>
      </c>
      <c r="K64" s="28" t="n">
        <f aca="false">(K63/K62)</f>
        <v>0.11313086956647</v>
      </c>
      <c r="L64" s="28" t="n">
        <f aca="false">(L63/L62)</f>
        <v>0.454677383266594</v>
      </c>
      <c r="M64" s="28" t="n">
        <f aca="false">(M63/M62)</f>
        <v>0.277667931970983</v>
      </c>
      <c r="N64" s="28" t="n">
        <f aca="false">(N63/N62)</f>
        <v>0.270696846134136</v>
      </c>
      <c r="O64" s="28" t="n">
        <f aca="false">(O63/O62)</f>
        <v>0.210704932467908</v>
      </c>
      <c r="P64" s="28" t="n">
        <f aca="false">(P63/P62)</f>
        <v>0.174621099182149</v>
      </c>
      <c r="Q64" s="28" t="n">
        <f aca="false">(Q63/Q62)</f>
        <v>0.0888927270816932</v>
      </c>
      <c r="R64" s="30" t="n">
        <f aca="false">(R63/R62)</f>
        <v>0.0731658597534268</v>
      </c>
      <c r="S64" s="26"/>
      <c r="T64" s="21" t="s">
        <v>24</v>
      </c>
      <c r="U64" s="22" t="n">
        <f aca="false">AVERAGE(B64)</f>
        <v>0.113400462635375</v>
      </c>
      <c r="V64" s="22" t="n">
        <f aca="false">AVERAGE(C64)</f>
        <v>0.11600170283821</v>
      </c>
      <c r="W64" s="22" t="n">
        <f aca="false">AVERAGE(I64:S64)</f>
        <v>0.219209643449336</v>
      </c>
      <c r="X64" s="22" t="n">
        <f aca="false">(E64)</f>
        <v>0.167776707962741</v>
      </c>
      <c r="Y64" s="22" t="n">
        <f aca="false">AVERAGE(G64:L64)</f>
        <v>0.317351100926156</v>
      </c>
      <c r="Z64" s="22" t="n">
        <f aca="false">AVERAGE(M64:R64)</f>
        <v>0.182624899431716</v>
      </c>
      <c r="AA64" s="22" t="n">
        <f aca="false">AVERAGE(I64:S64)</f>
        <v>0.219209643449336</v>
      </c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6"/>
      <c r="I65" s="6"/>
      <c r="J65" s="2"/>
      <c r="K65" s="2"/>
      <c r="L65" s="2"/>
      <c r="M65" s="2"/>
      <c r="N65" s="2"/>
      <c r="O65" s="2"/>
      <c r="P65" s="2"/>
      <c r="Q65" s="6"/>
      <c r="R65" s="4"/>
      <c r="S65" s="4"/>
      <c r="T65" s="6"/>
      <c r="U65" s="6"/>
      <c r="V65" s="6"/>
      <c r="W65" s="6"/>
      <c r="X65" s="6"/>
      <c r="Y65" s="6"/>
      <c r="Z65" s="6"/>
      <c r="AA65" s="6"/>
    </row>
    <row r="66" customFormat="false" ht="19.7" hidden="false" customHeight="false" outlineLevel="0" collapsed="false">
      <c r="A66" s="1" t="s">
        <v>31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6"/>
      <c r="S66" s="6"/>
      <c r="T66" s="6"/>
      <c r="U66" s="6"/>
      <c r="V66" s="6"/>
      <c r="W66" s="6"/>
      <c r="X66" s="6"/>
      <c r="Y66" s="6"/>
      <c r="Z66" s="6"/>
      <c r="AA66" s="6"/>
    </row>
    <row r="67" customFormat="false" ht="15.75" hidden="false" customHeight="false" outlineLevel="0" collapsed="false">
      <c r="A67" s="2"/>
      <c r="B67" s="3" t="s">
        <v>1</v>
      </c>
      <c r="C67" s="3" t="s">
        <v>2</v>
      </c>
      <c r="D67" s="3" t="s">
        <v>3</v>
      </c>
      <c r="E67" s="3" t="s">
        <v>4</v>
      </c>
      <c r="F67" s="2"/>
      <c r="G67" s="32" t="s">
        <v>5</v>
      </c>
      <c r="H67" s="32"/>
      <c r="I67" s="32"/>
      <c r="J67" s="32"/>
      <c r="K67" s="32"/>
      <c r="L67" s="32"/>
      <c r="M67" s="32" t="s">
        <v>6</v>
      </c>
      <c r="N67" s="32"/>
      <c r="O67" s="32"/>
      <c r="P67" s="32"/>
      <c r="Q67" s="32"/>
      <c r="R67" s="32"/>
      <c r="S67" s="6"/>
      <c r="T67" s="6"/>
      <c r="U67" s="6"/>
      <c r="V67" s="6"/>
      <c r="W67" s="6"/>
      <c r="X67" s="6"/>
      <c r="Y67" s="6"/>
      <c r="Z67" s="6"/>
      <c r="AA67" s="6"/>
    </row>
    <row r="68" customFormat="false" ht="15.75" hidden="false" customHeight="false" outlineLevel="0" collapsed="false">
      <c r="A68" s="6"/>
      <c r="B68" s="3"/>
      <c r="C68" s="3"/>
      <c r="D68" s="3"/>
      <c r="E68" s="3"/>
      <c r="F68" s="2"/>
      <c r="G68" s="4" t="s">
        <v>7</v>
      </c>
      <c r="H68" s="4" t="s">
        <v>8</v>
      </c>
      <c r="I68" s="31" t="s">
        <v>9</v>
      </c>
      <c r="J68" s="31" t="s">
        <v>10</v>
      </c>
      <c r="K68" s="31" t="s">
        <v>11</v>
      </c>
      <c r="L68" s="4" t="s">
        <v>12</v>
      </c>
      <c r="M68" s="4" t="s">
        <v>7</v>
      </c>
      <c r="N68" s="4" t="s">
        <v>8</v>
      </c>
      <c r="O68" s="31" t="s">
        <v>9</v>
      </c>
      <c r="P68" s="31" t="s">
        <v>10</v>
      </c>
      <c r="Q68" s="31" t="s">
        <v>11</v>
      </c>
      <c r="R68" s="4" t="s">
        <v>12</v>
      </c>
      <c r="S68" s="4"/>
      <c r="T68" s="6"/>
      <c r="U68" s="6"/>
      <c r="V68" s="6"/>
      <c r="W68" s="6"/>
      <c r="X68" s="6"/>
      <c r="Y68" s="6"/>
      <c r="Z68" s="6"/>
      <c r="AA68" s="6"/>
    </row>
    <row r="69" customFormat="false" ht="15.75" hidden="false" customHeight="false" outlineLevel="0" collapsed="false">
      <c r="A69" s="6"/>
      <c r="B69" s="26" t="n">
        <f aca="false">B43-B30</f>
        <v>643.149999999994</v>
      </c>
      <c r="C69" s="26" t="n">
        <f aca="false">C43-C30</f>
        <v>1396.59</v>
      </c>
      <c r="D69" s="26" t="n">
        <f aca="false">D43-D30</f>
        <v>7231.68</v>
      </c>
      <c r="E69" s="26" t="n">
        <f aca="false">E43-E30</f>
        <v>8383.01</v>
      </c>
      <c r="F69" s="2"/>
      <c r="G69" s="26" t="n">
        <f aca="false">G43-G30</f>
        <v>582.329999999995</v>
      </c>
      <c r="H69" s="26" t="n">
        <f aca="false">H43-H30</f>
        <v>930.150000000002</v>
      </c>
      <c r="I69" s="26" t="n">
        <f aca="false">I43-I30</f>
        <v>1861.38</v>
      </c>
      <c r="J69" s="26" t="n">
        <f aca="false">J43-J30</f>
        <v>2895.27</v>
      </c>
      <c r="K69" s="26" t="n">
        <f aca="false">K43-K30</f>
        <v>5392.91</v>
      </c>
      <c r="L69" s="26" t="n">
        <f aca="false">L43-L30</f>
        <v>394.639999999999</v>
      </c>
      <c r="M69" s="26" t="n">
        <f aca="false">M43-M30</f>
        <v>7587.21000000001</v>
      </c>
      <c r="N69" s="26" t="n">
        <f aca="false">N43-N30</f>
        <v>5188.59999999999</v>
      </c>
      <c r="O69" s="26" t="n">
        <f aca="false">O43-O30</f>
        <v>5588.53</v>
      </c>
      <c r="P69" s="26" t="n">
        <f aca="false">P43-P30</f>
        <v>7769.49999999999</v>
      </c>
      <c r="Q69" s="26" t="n">
        <f aca="false">Q43-Q30</f>
        <v>8793.26</v>
      </c>
      <c r="R69" s="26" t="n">
        <f aca="false">R43-R30</f>
        <v>2114.61</v>
      </c>
      <c r="S69" s="26"/>
      <c r="T69" s="6"/>
      <c r="U69" s="6"/>
      <c r="V69" s="6"/>
      <c r="W69" s="6"/>
      <c r="X69" s="6"/>
      <c r="Y69" s="6"/>
      <c r="Z69" s="6"/>
      <c r="AA69" s="6"/>
    </row>
    <row r="70" customFormat="false" ht="15.75" hidden="false" customHeight="false" outlineLevel="0" collapsed="false">
      <c r="A70" s="6"/>
      <c r="B70" s="26" t="n">
        <f aca="false">B44-B31</f>
        <v>661.760000000002</v>
      </c>
      <c r="C70" s="26" t="n">
        <f aca="false">C44-C31</f>
        <v>1767.79</v>
      </c>
      <c r="D70" s="26" t="n">
        <f aca="false">D44-D31</f>
        <v>9186.11000000001</v>
      </c>
      <c r="E70" s="26" t="n">
        <f aca="false">E44-E31</f>
        <v>10618.47</v>
      </c>
      <c r="F70" s="2"/>
      <c r="G70" s="26" t="n">
        <f aca="false">G44-G31</f>
        <v>2211.01</v>
      </c>
      <c r="H70" s="26" t="n">
        <f aca="false">H44-H31</f>
        <v>2992.88</v>
      </c>
      <c r="I70" s="26" t="n">
        <f aca="false">I44-I31</f>
        <v>1754.45</v>
      </c>
      <c r="J70" s="26" t="n">
        <f aca="false">J44-J31</f>
        <v>3764.9</v>
      </c>
      <c r="K70" s="26" t="n">
        <f aca="false">K44-K31</f>
        <v>5319.82</v>
      </c>
      <c r="L70" s="26" t="n">
        <f aca="false">L44-L31</f>
        <v>302.269999999997</v>
      </c>
      <c r="M70" s="26" t="n">
        <f aca="false">M44-M31</f>
        <v>2592.95</v>
      </c>
      <c r="N70" s="26" t="n">
        <f aca="false">N44-N31</f>
        <v>3914.33</v>
      </c>
      <c r="O70" s="26" t="n">
        <f aca="false">O44-O31</f>
        <v>6140.2</v>
      </c>
      <c r="P70" s="26" t="n">
        <f aca="false">P44-P31</f>
        <v>7484.19</v>
      </c>
      <c r="Q70" s="26" t="n">
        <f aca="false">Q44-Q31</f>
        <v>9833.03</v>
      </c>
      <c r="R70" s="26" t="n">
        <f aca="false">R44-R31</f>
        <v>8149.7</v>
      </c>
      <c r="S70" s="26"/>
      <c r="T70" s="6"/>
      <c r="U70" s="6"/>
      <c r="V70" s="6"/>
      <c r="W70" s="6"/>
      <c r="X70" s="6"/>
      <c r="Y70" s="6"/>
      <c r="Z70" s="6"/>
      <c r="AA70" s="6"/>
    </row>
    <row r="71" customFormat="false" ht="15.75" hidden="false" customHeight="false" outlineLevel="0" collapsed="false">
      <c r="A71" s="6"/>
      <c r="B71" s="26" t="n">
        <f aca="false">B45-B32</f>
        <v>1242.98</v>
      </c>
      <c r="C71" s="26" t="n">
        <f aca="false">C45-C32</f>
        <v>2070.75</v>
      </c>
      <c r="D71" s="26" t="n">
        <f aca="false">D45-D32</f>
        <v>7867.8</v>
      </c>
      <c r="E71" s="26" t="n">
        <f aca="false">E45-E32</f>
        <v>10372.76</v>
      </c>
      <c r="F71" s="2"/>
      <c r="G71" s="26" t="n">
        <f aca="false">G45-G32</f>
        <v>12914.6</v>
      </c>
      <c r="H71" s="26" t="n">
        <f aca="false">H45-H32</f>
        <v>2753.78999999999</v>
      </c>
      <c r="I71" s="26" t="n">
        <f aca="false">I45-I32</f>
        <v>11655.4</v>
      </c>
      <c r="J71" s="26" t="n">
        <f aca="false">J45-J32</f>
        <v>7022.89</v>
      </c>
      <c r="K71" s="26" t="n">
        <f aca="false">K45-K32</f>
        <v>8606.31</v>
      </c>
      <c r="L71" s="26" t="n">
        <f aca="false">L45-L32</f>
        <v>2286.40000000001</v>
      </c>
      <c r="M71" s="26" t="n">
        <f aca="false">M45-M32</f>
        <v>764.549999999996</v>
      </c>
      <c r="N71" s="26" t="n">
        <f aca="false">N45-N32</f>
        <v>1391.07</v>
      </c>
      <c r="O71" s="26" t="n">
        <f aca="false">O45-O32</f>
        <v>2567.99</v>
      </c>
      <c r="P71" s="26" t="n">
        <f aca="false">P45-P32</f>
        <v>3693.03</v>
      </c>
      <c r="Q71" s="26" t="n">
        <f aca="false">Q45-Q32</f>
        <v>6488.23</v>
      </c>
      <c r="R71" s="26" t="n">
        <f aca="false">R45-R32</f>
        <v>7707.91</v>
      </c>
      <c r="S71" s="26"/>
      <c r="T71" s="6"/>
      <c r="U71" s="6"/>
      <c r="V71" s="6"/>
      <c r="W71" s="6"/>
      <c r="X71" s="6"/>
      <c r="Y71" s="6"/>
      <c r="Z71" s="6"/>
      <c r="AA71" s="6"/>
    </row>
    <row r="72" customFormat="false" ht="15.75" hidden="false" customHeight="false" outlineLevel="0" collapsed="false">
      <c r="A72" s="6"/>
      <c r="B72" s="26" t="n">
        <f aca="false">B46-B33</f>
        <v>1133.17</v>
      </c>
      <c r="C72" s="26" t="n">
        <f aca="false">C46-C33</f>
        <v>2959.83</v>
      </c>
      <c r="D72" s="26" t="n">
        <f aca="false">D46-D33</f>
        <v>9056.63000000001</v>
      </c>
      <c r="E72" s="26" t="n">
        <f aca="false">E46-E33</f>
        <v>10857.28</v>
      </c>
      <c r="F72" s="2"/>
      <c r="G72" s="26" t="n">
        <f aca="false">G46-G33</f>
        <v>1281.48</v>
      </c>
      <c r="H72" s="26" t="n">
        <f aca="false">H46-H33</f>
        <v>3261.05</v>
      </c>
      <c r="I72" s="26" t="n">
        <f aca="false">I46-I33</f>
        <v>15102.91</v>
      </c>
      <c r="J72" s="26" t="n">
        <f aca="false">J46-J33</f>
        <v>10091.78</v>
      </c>
      <c r="K72" s="26" t="n">
        <f aca="false">K46-K33</f>
        <v>8109.23</v>
      </c>
      <c r="L72" s="26" t="n">
        <f aca="false">L46-L33</f>
        <v>1056.62</v>
      </c>
      <c r="M72" s="26" t="n">
        <f aca="false">M46-M33</f>
        <v>655.490000000005</v>
      </c>
      <c r="N72" s="26" t="n">
        <f aca="false">N46-N33</f>
        <v>1272.12</v>
      </c>
      <c r="O72" s="26" t="n">
        <f aca="false">O46-O33</f>
        <v>2267.5</v>
      </c>
      <c r="P72" s="26" t="n">
        <f aca="false">P46-P33</f>
        <v>3722.34</v>
      </c>
      <c r="Q72" s="26" t="n">
        <f aca="false">Q46-Q33</f>
        <v>6013.47</v>
      </c>
      <c r="R72" s="26" t="n">
        <f aca="false">R46-R33</f>
        <v>6337.81</v>
      </c>
      <c r="S72" s="26"/>
      <c r="T72" s="6"/>
      <c r="U72" s="6"/>
      <c r="V72" s="6"/>
      <c r="W72" s="6"/>
      <c r="X72" s="6"/>
      <c r="Y72" s="6"/>
      <c r="Z72" s="6"/>
      <c r="AA72" s="6"/>
    </row>
    <row r="73" customFormat="false" ht="15.75" hidden="false" customHeight="false" outlineLevel="0" collapsed="false">
      <c r="A73" s="6"/>
      <c r="B73" s="6"/>
      <c r="C73" s="6"/>
      <c r="D73" s="26" t="n">
        <f aca="false">D47-D34</f>
        <v>3236.44</v>
      </c>
      <c r="E73" s="26" t="n">
        <f aca="false">E47-E34</f>
        <v>6380.89</v>
      </c>
      <c r="F73" s="2"/>
      <c r="G73" s="26" t="n">
        <f aca="false">G47-G34</f>
        <v>6045.79999999999</v>
      </c>
      <c r="H73" s="26" t="n">
        <f aca="false">H47-H34</f>
        <v>7490.42999999999</v>
      </c>
      <c r="I73" s="26" t="n">
        <f aca="false">I47-I34</f>
        <v>8564.81</v>
      </c>
      <c r="J73" s="26" t="n">
        <f aca="false">J47-J34</f>
        <v>10237.18</v>
      </c>
      <c r="K73" s="26" t="n">
        <f aca="false">K47-K34</f>
        <v>9113.17</v>
      </c>
      <c r="L73" s="26" t="n">
        <f aca="false">L47-L34</f>
        <v>4882.90000000001</v>
      </c>
      <c r="M73" s="26"/>
      <c r="N73" s="26"/>
      <c r="O73" s="26"/>
      <c r="P73" s="26"/>
      <c r="Q73" s="26"/>
      <c r="R73" s="26"/>
      <c r="S73" s="26"/>
      <c r="T73" s="11"/>
      <c r="U73" s="12" t="s">
        <v>13</v>
      </c>
      <c r="V73" s="12"/>
      <c r="W73" s="12"/>
      <c r="X73" s="12"/>
      <c r="Y73" s="12" t="s">
        <v>14</v>
      </c>
      <c r="Z73" s="12"/>
      <c r="AA73" s="11"/>
    </row>
    <row r="74" customFormat="false" ht="15.75" hidden="false" customHeight="false" outlineLevel="0" collapsed="false">
      <c r="A74" s="2"/>
      <c r="B74" s="6"/>
      <c r="C74" s="6"/>
      <c r="D74" s="26" t="n">
        <f aca="false">D48-D35</f>
        <v>4146.08</v>
      </c>
      <c r="E74" s="26" t="n">
        <f aca="false">E48-E35</f>
        <v>6845.12999999999</v>
      </c>
      <c r="F74" s="2"/>
      <c r="G74" s="26" t="n">
        <f aca="false">G48-G35</f>
        <v>5112.31</v>
      </c>
      <c r="H74" s="26" t="n">
        <f aca="false">H48-H35</f>
        <v>7902.82000000001</v>
      </c>
      <c r="I74" s="26" t="n">
        <f aca="false">I48-I35</f>
        <v>8739.36</v>
      </c>
      <c r="J74" s="26" t="n">
        <f aca="false">J48-J35</f>
        <v>8572.7</v>
      </c>
      <c r="K74" s="44"/>
      <c r="L74" s="26" t="n">
        <f aca="false">L48-L35</f>
        <v>5340.5</v>
      </c>
      <c r="M74" s="26"/>
      <c r="N74" s="26"/>
      <c r="O74" s="26"/>
      <c r="P74" s="26"/>
      <c r="Q74" s="26"/>
      <c r="R74" s="26"/>
      <c r="S74" s="26"/>
      <c r="T74" s="11"/>
      <c r="U74" s="12" t="s">
        <v>15</v>
      </c>
      <c r="V74" s="12" t="s">
        <v>16</v>
      </c>
      <c r="W74" s="12" t="s">
        <v>17</v>
      </c>
      <c r="X74" s="12" t="s">
        <v>18</v>
      </c>
      <c r="Y74" s="12" t="s">
        <v>19</v>
      </c>
      <c r="Z74" s="13" t="s">
        <v>20</v>
      </c>
      <c r="AA74" s="12" t="s">
        <v>21</v>
      </c>
    </row>
    <row r="75" customFormat="false" ht="15.75" hidden="false" customHeight="false" outlineLevel="0" collapsed="false">
      <c r="A75" s="36" t="s">
        <v>22</v>
      </c>
      <c r="B75" s="37" t="n">
        <f aca="false">AVERAGE(B69:B74)</f>
        <v>920.264999999999</v>
      </c>
      <c r="C75" s="37" t="n">
        <f aca="false">AVERAGE(C69:C74)</f>
        <v>2048.74</v>
      </c>
      <c r="D75" s="37" t="n">
        <f aca="false">AVERAGE(D69:D74)</f>
        <v>6787.45666666667</v>
      </c>
      <c r="E75" s="37" t="n">
        <f aca="false">AVERAGE(E69:E74)</f>
        <v>8909.59</v>
      </c>
      <c r="F75" s="38"/>
      <c r="G75" s="37" t="n">
        <f aca="false">AVERAGE(G69:G74)</f>
        <v>4691.255</v>
      </c>
      <c r="H75" s="37" t="n">
        <f aca="false">AVERAGE(H69:H74)</f>
        <v>4221.85333333333</v>
      </c>
      <c r="I75" s="37" t="n">
        <f aca="false">AVERAGE(I69:I74)</f>
        <v>7946.385</v>
      </c>
      <c r="J75" s="37" t="n">
        <f aca="false">AVERAGE(J69:J74)</f>
        <v>7097.45333333334</v>
      </c>
      <c r="K75" s="37" t="n">
        <f aca="false">AVERAGE(K69:K74)</f>
        <v>7308.288</v>
      </c>
      <c r="L75" s="37" t="n">
        <f aca="false">AVERAGE(L69:L74)</f>
        <v>2377.22166666667</v>
      </c>
      <c r="M75" s="37" t="n">
        <f aca="false">AVERAGE(M69:M74)</f>
        <v>2900.05</v>
      </c>
      <c r="N75" s="37" t="n">
        <f aca="false">AVERAGE(N69:N74)</f>
        <v>2941.53</v>
      </c>
      <c r="O75" s="37" t="n">
        <f aca="false">AVERAGE(O69:O74)</f>
        <v>4141.055</v>
      </c>
      <c r="P75" s="37" t="n">
        <f aca="false">AVERAGE(P69:P74)</f>
        <v>5667.265</v>
      </c>
      <c r="Q75" s="37" t="n">
        <f aca="false">AVERAGE(Q69:Q74)</f>
        <v>7781.9975</v>
      </c>
      <c r="R75" s="39" t="n">
        <f aca="false">AVERAGE(R69:R74)</f>
        <v>6077.5075</v>
      </c>
      <c r="S75" s="4"/>
      <c r="T75" s="14" t="s">
        <v>22</v>
      </c>
      <c r="U75" s="15" t="n">
        <f aca="false">(B75)</f>
        <v>920.264999999999</v>
      </c>
      <c r="V75" s="15" t="n">
        <f aca="false">(C75)</f>
        <v>2048.74</v>
      </c>
      <c r="W75" s="15" t="n">
        <f aca="false">(D75)</f>
        <v>6787.45666666667</v>
      </c>
      <c r="X75" s="15" t="n">
        <f aca="false">(E75)</f>
        <v>8909.59</v>
      </c>
      <c r="Y75" s="15" t="n">
        <f aca="false">AVERAGE(G75:L75)</f>
        <v>5607.07605555555</v>
      </c>
      <c r="Z75" s="15" t="n">
        <f aca="false">AVERAGE(M75:R75)</f>
        <v>4918.23416666667</v>
      </c>
      <c r="AA75" s="15" t="n">
        <f aca="false">AVERAGE(B75:E75,G75:R75)</f>
        <v>5113.6195625</v>
      </c>
    </row>
    <row r="76" customFormat="false" ht="15.75" hidden="false" customHeight="false" outlineLevel="0" collapsed="false">
      <c r="A76" s="23" t="s">
        <v>25</v>
      </c>
      <c r="B76" s="24" t="n">
        <f aca="false">STDEV(B69:B72)</f>
        <v>312.565229725468</v>
      </c>
      <c r="C76" s="24" t="n">
        <f aca="false">STDEV(C69:C72)</f>
        <v>667.033720586898</v>
      </c>
      <c r="D76" s="24" t="n">
        <f aca="false">STDEV(D69:D74)</f>
        <v>2524.03453146479</v>
      </c>
      <c r="E76" s="24" t="n">
        <f aca="false">STDEV(E69:E74)</f>
        <v>1989.383769784</v>
      </c>
      <c r="F76" s="24"/>
      <c r="G76" s="24" t="n">
        <f aca="false">STDEV(G69:G74)</f>
        <v>4567.20763542342</v>
      </c>
      <c r="H76" s="24" t="n">
        <f aca="false">STDEV(H69:H74)</f>
        <v>2816.27940061825</v>
      </c>
      <c r="I76" s="24" t="n">
        <f aca="false">STDEV(I69:I74)</f>
        <v>5316.97745098378</v>
      </c>
      <c r="J76" s="24" t="n">
        <f aca="false">STDEV(J69:J74)</f>
        <v>3154.9974527005</v>
      </c>
      <c r="K76" s="24" t="n">
        <f aca="false">STDEV(K69:K74)</f>
        <v>1817.04747486685</v>
      </c>
      <c r="L76" s="24" t="n">
        <f aca="false">STDEV(L69:L74)</f>
        <v>2238.2016983321</v>
      </c>
      <c r="M76" s="24" t="n">
        <f aca="false">STDEV(M69:M72)</f>
        <v>3248.70174681108</v>
      </c>
      <c r="N76" s="24" t="n">
        <f aca="false">STDEV(N69:N72)</f>
        <v>1931.02040249881</v>
      </c>
      <c r="O76" s="24" t="n">
        <f aca="false">STDEV(O69:O72)</f>
        <v>2006.36540697351</v>
      </c>
      <c r="P76" s="24" t="n">
        <f aca="false">STDEV(P69:P72)</f>
        <v>2265.75561654385</v>
      </c>
      <c r="Q76" s="24" t="n">
        <f aca="false">STDEV(Q69:Q72)</f>
        <v>1828.56136732997</v>
      </c>
      <c r="R76" s="25" t="n">
        <f aca="false">STDEV(R69:R72)</f>
        <v>2752.24199856983</v>
      </c>
      <c r="S76" s="6"/>
      <c r="T76" s="14" t="s">
        <v>23</v>
      </c>
      <c r="U76" s="17" t="n">
        <f aca="false">AVERAGE(B76)</f>
        <v>312.565229725468</v>
      </c>
      <c r="V76" s="17" t="n">
        <f aca="false">AVERAGE(C76)</f>
        <v>667.033720586898</v>
      </c>
      <c r="W76" s="17" t="n">
        <f aca="false">AVERAGE(I76:S76)</f>
        <v>2655.98706156103</v>
      </c>
      <c r="X76" s="17" t="n">
        <f aca="false">(E76)</f>
        <v>1989.383769784</v>
      </c>
      <c r="Y76" s="17" t="n">
        <f aca="false">AVERAGE(G76:L76)</f>
        <v>3318.45185215415</v>
      </c>
      <c r="Z76" s="17" t="n">
        <f aca="false">AVERAGE(M76:R76)</f>
        <v>2338.77442312118</v>
      </c>
      <c r="AA76" s="17" t="n">
        <f aca="false">AVERAGE(I76:S76)</f>
        <v>2655.98706156103</v>
      </c>
    </row>
    <row r="77" customFormat="false" ht="15.75" hidden="false" customHeight="false" outlineLevel="0" collapsed="false">
      <c r="A77" s="27" t="s">
        <v>24</v>
      </c>
      <c r="B77" s="28" t="n">
        <f aca="false">(B76/B75)</f>
        <v>0.339646981820963</v>
      </c>
      <c r="C77" s="28" t="n">
        <f aca="false">(C76/C75)</f>
        <v>0.325582416796127</v>
      </c>
      <c r="D77" s="28" t="n">
        <f aca="false">(D76/D75)</f>
        <v>0.371867498449069</v>
      </c>
      <c r="E77" s="28" t="n">
        <f aca="false">(E76/E75)</f>
        <v>0.223285669686709</v>
      </c>
      <c r="F77" s="29"/>
      <c r="G77" s="28" t="n">
        <f aca="false">(G76/G75)</f>
        <v>0.973557744233349</v>
      </c>
      <c r="H77" s="28" t="n">
        <f aca="false">(H76/H75)</f>
        <v>0.667071823263617</v>
      </c>
      <c r="I77" s="28" t="n">
        <f aca="false">(I76/I75)</f>
        <v>0.669106449156916</v>
      </c>
      <c r="J77" s="28" t="n">
        <f aca="false">(J76/J75)</f>
        <v>0.444525283157973</v>
      </c>
      <c r="K77" s="28" t="n">
        <f aca="false">(K76/K75)</f>
        <v>0.248628334688897</v>
      </c>
      <c r="L77" s="28" t="n">
        <f aca="false">(L76/L75)</f>
        <v>0.941519980957642</v>
      </c>
      <c r="M77" s="28" t="n">
        <f aca="false">(M76/M75)</f>
        <v>1.12022266747507</v>
      </c>
      <c r="N77" s="28" t="n">
        <f aca="false">(N76/N75)</f>
        <v>0.656468029392461</v>
      </c>
      <c r="O77" s="28" t="n">
        <f aca="false">(O76/O75)</f>
        <v>0.48450585828334</v>
      </c>
      <c r="P77" s="28" t="n">
        <f aca="false">(P76/P75)</f>
        <v>0.39979701258788</v>
      </c>
      <c r="Q77" s="28" t="n">
        <f aca="false">(Q76/Q75)</f>
        <v>0.234973265839519</v>
      </c>
      <c r="R77" s="30" t="n">
        <f aca="false">(R76/R75)</f>
        <v>0.452857030381259</v>
      </c>
      <c r="S77" s="6"/>
      <c r="T77" s="21" t="s">
        <v>24</v>
      </c>
      <c r="U77" s="22" t="n">
        <f aca="false">AVERAGE(B77)</f>
        <v>0.339646981820963</v>
      </c>
      <c r="V77" s="22" t="n">
        <f aca="false">AVERAGE(C77)</f>
        <v>0.325582416796127</v>
      </c>
      <c r="W77" s="22" t="n">
        <f aca="false">AVERAGE(I77:S77)</f>
        <v>0.565260391192096</v>
      </c>
      <c r="X77" s="22" t="n">
        <f aca="false">(E77)</f>
        <v>0.223285669686709</v>
      </c>
      <c r="Y77" s="22" t="n">
        <f aca="false">AVERAGE(G77:L77)</f>
        <v>0.657401602576399</v>
      </c>
      <c r="Z77" s="22" t="n">
        <f aca="false">AVERAGE(M77:R77)</f>
        <v>0.558137310659922</v>
      </c>
      <c r="AA77" s="22" t="n">
        <f aca="false">AVERAGE(I77:S77)</f>
        <v>0.565260391192096</v>
      </c>
    </row>
    <row r="78" customFormat="false" ht="15.75" hidden="false" customHeight="false" outlineLevel="0" collapsed="false">
      <c r="S78" s="6"/>
      <c r="T78" s="6"/>
      <c r="U78" s="6"/>
      <c r="V78" s="6"/>
      <c r="W78" s="6"/>
      <c r="X78" s="6"/>
      <c r="Y78" s="6"/>
      <c r="Z78" s="6"/>
      <c r="AA78" s="6"/>
    </row>
    <row r="79" customFormat="false" ht="19.7" hidden="false" customHeight="false" outlineLevel="0" collapsed="false">
      <c r="A79" s="1" t="s">
        <v>32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"/>
      <c r="T79" s="6"/>
      <c r="U79" s="6"/>
      <c r="V79" s="6"/>
      <c r="W79" s="6"/>
      <c r="X79" s="6"/>
      <c r="Y79" s="6"/>
      <c r="Z79" s="6"/>
      <c r="AA79" s="6"/>
    </row>
    <row r="80" customFormat="false" ht="15.75" hidden="false" customHeight="false" outlineLevel="0" collapsed="false">
      <c r="A80" s="2"/>
      <c r="B80" s="3" t="s">
        <v>1</v>
      </c>
      <c r="C80" s="3" t="s">
        <v>2</v>
      </c>
      <c r="D80" s="3" t="s">
        <v>3</v>
      </c>
      <c r="E80" s="3" t="s">
        <v>4</v>
      </c>
      <c r="F80" s="4"/>
      <c r="G80" s="32" t="s">
        <v>5</v>
      </c>
      <c r="H80" s="32"/>
      <c r="I80" s="32"/>
      <c r="J80" s="32"/>
      <c r="K80" s="32"/>
      <c r="L80" s="32"/>
      <c r="M80" s="32" t="s">
        <v>6</v>
      </c>
      <c r="N80" s="32"/>
      <c r="O80" s="32"/>
      <c r="P80" s="32"/>
      <c r="Q80" s="32"/>
      <c r="R80" s="32"/>
      <c r="S80" s="6"/>
      <c r="T80" s="6"/>
      <c r="U80" s="6"/>
      <c r="V80" s="6"/>
      <c r="W80" s="6"/>
      <c r="X80" s="6"/>
      <c r="Y80" s="6"/>
      <c r="Z80" s="6"/>
      <c r="AA80" s="6"/>
    </row>
    <row r="81" customFormat="false" ht="15.75" hidden="false" customHeight="false" outlineLevel="0" collapsed="false">
      <c r="A81" s="6"/>
      <c r="B81" s="3"/>
      <c r="C81" s="3"/>
      <c r="D81" s="3"/>
      <c r="E81" s="3"/>
      <c r="F81" s="6"/>
      <c r="G81" s="4" t="s">
        <v>7</v>
      </c>
      <c r="H81" s="4" t="s">
        <v>8</v>
      </c>
      <c r="I81" s="31" t="s">
        <v>9</v>
      </c>
      <c r="J81" s="31" t="s">
        <v>10</v>
      </c>
      <c r="K81" s="31" t="s">
        <v>11</v>
      </c>
      <c r="L81" s="4" t="s">
        <v>12</v>
      </c>
      <c r="M81" s="4" t="s">
        <v>7</v>
      </c>
      <c r="N81" s="4" t="s">
        <v>8</v>
      </c>
      <c r="O81" s="31" t="s">
        <v>9</v>
      </c>
      <c r="P81" s="31" t="s">
        <v>10</v>
      </c>
      <c r="Q81" s="31" t="s">
        <v>11</v>
      </c>
      <c r="R81" s="4" t="s">
        <v>12</v>
      </c>
      <c r="S81" s="6"/>
      <c r="T81" s="6"/>
      <c r="U81" s="6"/>
      <c r="V81" s="6"/>
      <c r="W81" s="6"/>
      <c r="X81" s="6"/>
      <c r="Y81" s="6"/>
      <c r="Z81" s="6"/>
      <c r="AA81" s="6"/>
    </row>
    <row r="82" customFormat="false" ht="15.75" hidden="false" customHeight="false" outlineLevel="0" collapsed="false">
      <c r="B82" s="45" t="s">
        <v>33</v>
      </c>
      <c r="C82" s="45" t="s">
        <v>34</v>
      </c>
      <c r="D82" s="46" t="s">
        <v>35</v>
      </c>
      <c r="E82" s="47" t="n">
        <v>151.02</v>
      </c>
      <c r="F82" s="6"/>
      <c r="G82" s="41" t="n">
        <v>5.28</v>
      </c>
      <c r="H82" s="41" t="n">
        <v>5.54</v>
      </c>
      <c r="I82" s="41" t="n">
        <v>7.56</v>
      </c>
      <c r="J82" s="41" t="n">
        <v>9.7</v>
      </c>
      <c r="K82" s="41" t="n">
        <v>72.125</v>
      </c>
      <c r="L82" s="41" t="n">
        <v>9.95</v>
      </c>
      <c r="M82" s="41" t="n">
        <v>26.42</v>
      </c>
      <c r="N82" s="41" t="n">
        <v>19.3129</v>
      </c>
      <c r="O82" s="41" t="n">
        <v>12.4289</v>
      </c>
      <c r="P82" s="41" t="n">
        <v>25.63</v>
      </c>
      <c r="Q82" s="41" t="n">
        <v>69.34</v>
      </c>
      <c r="R82" s="41" t="n">
        <v>16.27</v>
      </c>
      <c r="S82" s="6"/>
      <c r="T82" s="6"/>
      <c r="U82" s="6"/>
      <c r="V82" s="6"/>
      <c r="W82" s="6"/>
      <c r="X82" s="6"/>
      <c r="Y82" s="6"/>
      <c r="Z82" s="6"/>
      <c r="AA82" s="6"/>
    </row>
    <row r="83" customFormat="false" ht="15.75" hidden="false" customHeight="false" outlineLevel="0" collapsed="false">
      <c r="B83" s="48" t="s">
        <v>36</v>
      </c>
      <c r="C83" s="45" t="s">
        <v>37</v>
      </c>
      <c r="D83" s="45" t="s">
        <v>38</v>
      </c>
      <c r="E83" s="47" t="n">
        <v>125.19</v>
      </c>
      <c r="F83" s="6"/>
      <c r="G83" s="41" t="n">
        <v>0</v>
      </c>
      <c r="H83" s="41" t="n">
        <v>6.63</v>
      </c>
      <c r="I83" s="41" t="n">
        <v>4.67</v>
      </c>
      <c r="J83" s="41" t="n">
        <v>21.54</v>
      </c>
      <c r="K83" s="41" t="n">
        <v>53.57</v>
      </c>
      <c r="L83" s="41" t="n">
        <v>3.2</v>
      </c>
      <c r="M83" s="41" t="n">
        <v>13.09</v>
      </c>
      <c r="N83" s="41" t="n">
        <v>24.0549</v>
      </c>
      <c r="O83" s="41" t="n">
        <v>29.3228</v>
      </c>
      <c r="P83" s="41" t="n">
        <v>23.04</v>
      </c>
      <c r="Q83" s="41" t="n">
        <v>152.93</v>
      </c>
      <c r="R83" s="41" t="n">
        <v>25.53</v>
      </c>
      <c r="S83" s="6"/>
      <c r="T83" s="6"/>
      <c r="U83" s="6"/>
      <c r="V83" s="6"/>
      <c r="W83" s="6"/>
      <c r="X83" s="6"/>
      <c r="Y83" s="6"/>
      <c r="Z83" s="6"/>
      <c r="AA83" s="6"/>
    </row>
    <row r="84" customFormat="false" ht="15.75" hidden="false" customHeight="false" outlineLevel="0" collapsed="false">
      <c r="A84" s="6"/>
      <c r="B84" s="45" t="n">
        <v>8.78</v>
      </c>
      <c r="C84" s="46" t="n">
        <v>6.32</v>
      </c>
      <c r="D84" s="45" t="n">
        <v>34.74</v>
      </c>
      <c r="E84" s="49" t="n">
        <v>206.34</v>
      </c>
      <c r="F84" s="6"/>
      <c r="G84" s="41" t="n">
        <v>100.7077</v>
      </c>
      <c r="H84" s="41" t="n">
        <v>8.7243</v>
      </c>
      <c r="I84" s="41" t="n">
        <v>11.05</v>
      </c>
      <c r="J84" s="41" t="n">
        <v>14.18</v>
      </c>
      <c r="K84" s="41" t="n">
        <v>106.34</v>
      </c>
      <c r="L84" s="41" t="n">
        <v>65.3</v>
      </c>
      <c r="M84" s="41" t="n">
        <v>6.59</v>
      </c>
      <c r="N84" s="41" t="n">
        <v>11.3352</v>
      </c>
      <c r="O84" s="41" t="n">
        <v>8.09</v>
      </c>
      <c r="P84" s="41" t="n">
        <v>15.05</v>
      </c>
      <c r="Q84" s="41" t="n">
        <v>122.3</v>
      </c>
      <c r="R84" s="41" t="n">
        <v>31.5434</v>
      </c>
      <c r="S84" s="6"/>
      <c r="T84" s="6"/>
      <c r="U84" s="6"/>
      <c r="V84" s="6"/>
      <c r="W84" s="6"/>
      <c r="X84" s="6"/>
      <c r="Y84" s="6"/>
      <c r="Z84" s="6"/>
      <c r="AA84" s="6"/>
    </row>
    <row r="85" customFormat="false" ht="15.75" hidden="false" customHeight="false" outlineLevel="0" collapsed="false">
      <c r="A85" s="6"/>
      <c r="B85" s="45" t="n">
        <v>22.52</v>
      </c>
      <c r="C85" s="45" t="n">
        <v>9.99</v>
      </c>
      <c r="D85" s="45" t="n">
        <v>24.84</v>
      </c>
      <c r="E85" s="47" t="n">
        <v>180.95</v>
      </c>
      <c r="F85" s="43"/>
      <c r="G85" s="41" t="n">
        <v>9.34</v>
      </c>
      <c r="H85" s="41" t="n">
        <v>9.59</v>
      </c>
      <c r="I85" s="41" t="n">
        <v>26.7</v>
      </c>
      <c r="J85" s="41" t="n">
        <v>18.29</v>
      </c>
      <c r="K85" s="41" t="n">
        <v>96.83</v>
      </c>
      <c r="L85" s="41" t="n">
        <v>8.63</v>
      </c>
      <c r="M85" s="41" t="n">
        <v>5.7</v>
      </c>
      <c r="N85" s="41" t="n">
        <v>9.6</v>
      </c>
      <c r="O85" s="41" t="n">
        <v>10.82</v>
      </c>
      <c r="P85" s="41" t="n">
        <v>9.8101</v>
      </c>
      <c r="Q85" s="41" t="n">
        <v>63.5908</v>
      </c>
      <c r="R85" s="41" t="n">
        <v>14.66</v>
      </c>
      <c r="S85" s="6"/>
      <c r="T85" s="6"/>
      <c r="U85" s="6"/>
      <c r="V85" s="6"/>
      <c r="W85" s="6"/>
      <c r="X85" s="6"/>
      <c r="Y85" s="6"/>
      <c r="Z85" s="6"/>
      <c r="AA85" s="6"/>
    </row>
    <row r="86" customFormat="false" ht="15.75" hidden="false" customHeight="false" outlineLevel="0" collapsed="false">
      <c r="A86" s="2"/>
      <c r="B86" s="2"/>
      <c r="C86" s="6"/>
      <c r="D86" s="45" t="n">
        <v>10.95</v>
      </c>
      <c r="E86" s="50" t="n">
        <v>13.85</v>
      </c>
      <c r="F86" s="6"/>
      <c r="G86" s="41" t="n">
        <v>46.17</v>
      </c>
      <c r="H86" s="41" t="n">
        <v>27.97</v>
      </c>
      <c r="I86" s="41" t="n">
        <v>29.99</v>
      </c>
      <c r="J86" s="41" t="n">
        <v>30.6582</v>
      </c>
      <c r="K86" s="41" t="n">
        <v>163.9831</v>
      </c>
      <c r="L86" s="41" t="n">
        <v>24.3</v>
      </c>
      <c r="M86" s="11"/>
      <c r="N86" s="11"/>
      <c r="O86" s="11"/>
      <c r="P86" s="11"/>
      <c r="Q86" s="11"/>
      <c r="R86" s="11"/>
      <c r="S86" s="6"/>
      <c r="T86" s="11"/>
      <c r="U86" s="12" t="s">
        <v>13</v>
      </c>
      <c r="V86" s="12"/>
      <c r="W86" s="12"/>
      <c r="X86" s="12"/>
      <c r="Y86" s="12" t="s">
        <v>14</v>
      </c>
      <c r="Z86" s="12"/>
      <c r="AA86" s="11"/>
    </row>
    <row r="87" customFormat="false" ht="15.75" hidden="false" customHeight="false" outlineLevel="0" collapsed="false">
      <c r="A87" s="6"/>
      <c r="B87" s="6"/>
      <c r="C87" s="6"/>
      <c r="D87" s="45" t="n">
        <v>10.42</v>
      </c>
      <c r="E87" s="50" t="n">
        <v>14.11</v>
      </c>
      <c r="F87" s="4"/>
      <c r="G87" s="41" t="n">
        <v>22.1499</v>
      </c>
      <c r="H87" s="41" t="n">
        <v>47.52</v>
      </c>
      <c r="I87" s="41" t="n">
        <v>32.05</v>
      </c>
      <c r="J87" s="41" t="n">
        <v>24.71</v>
      </c>
      <c r="K87" s="42"/>
      <c r="L87" s="41" t="n">
        <v>36.1484</v>
      </c>
      <c r="M87" s="11"/>
      <c r="N87" s="11"/>
      <c r="O87" s="11"/>
      <c r="P87" s="11"/>
      <c r="Q87" s="11"/>
      <c r="R87" s="11"/>
      <c r="S87" s="6"/>
      <c r="T87" s="11"/>
      <c r="U87" s="12" t="s">
        <v>15</v>
      </c>
      <c r="V87" s="12" t="s">
        <v>16</v>
      </c>
      <c r="W87" s="12" t="s">
        <v>17</v>
      </c>
      <c r="X87" s="12" t="s">
        <v>18</v>
      </c>
      <c r="Y87" s="12" t="s">
        <v>19</v>
      </c>
      <c r="Z87" s="13" t="s">
        <v>20</v>
      </c>
      <c r="AA87" s="12" t="s">
        <v>21</v>
      </c>
    </row>
    <row r="88" customFormat="false" ht="15.75" hidden="false" customHeight="false" outlineLevel="0" collapsed="false">
      <c r="A88" s="36" t="s">
        <v>22</v>
      </c>
      <c r="B88" s="37" t="n">
        <f aca="false">AVERAGE(B82:B87)</f>
        <v>15.65</v>
      </c>
      <c r="C88" s="37" t="n">
        <f aca="false">AVERAGE(C82:C87)</f>
        <v>8.155</v>
      </c>
      <c r="D88" s="37" t="n">
        <f aca="false">AVERAGE(D82:D87)</f>
        <v>20.2375</v>
      </c>
      <c r="E88" s="37" t="n">
        <f aca="false">AVERAGE(E82:E87)</f>
        <v>115.243333333333</v>
      </c>
      <c r="F88" s="38"/>
      <c r="G88" s="37" t="n">
        <f aca="false">AVERAGE(G82:G87)</f>
        <v>30.6079333333333</v>
      </c>
      <c r="H88" s="37" t="n">
        <f aca="false">AVERAGE(H82:H87)</f>
        <v>17.6623833333333</v>
      </c>
      <c r="I88" s="37" t="n">
        <f aca="false">AVERAGE(I82:I87)</f>
        <v>18.67</v>
      </c>
      <c r="J88" s="37" t="n">
        <f aca="false">AVERAGE(J82:J87)</f>
        <v>19.8463666666667</v>
      </c>
      <c r="K88" s="37" t="n">
        <f aca="false">AVERAGE(K82:K87)</f>
        <v>98.56962</v>
      </c>
      <c r="L88" s="37" t="n">
        <f aca="false">AVERAGE(L82:L87)</f>
        <v>24.5880666666667</v>
      </c>
      <c r="M88" s="37" t="n">
        <f aca="false">AVERAGE(M82:M87)</f>
        <v>12.95</v>
      </c>
      <c r="N88" s="37" t="n">
        <f aca="false">AVERAGE(N82:N87)</f>
        <v>16.07575</v>
      </c>
      <c r="O88" s="37" t="n">
        <f aca="false">AVERAGE(O82:O87)</f>
        <v>15.165425</v>
      </c>
      <c r="P88" s="37" t="n">
        <f aca="false">AVERAGE(P82:P87)</f>
        <v>18.382525</v>
      </c>
      <c r="Q88" s="37" t="n">
        <f aca="false">AVERAGE(Q82:Q87)</f>
        <v>102.0402</v>
      </c>
      <c r="R88" s="39" t="n">
        <f aca="false">AVERAGE(R82:R87)</f>
        <v>22.00085</v>
      </c>
      <c r="S88" s="6"/>
      <c r="T88" s="14" t="s">
        <v>22</v>
      </c>
      <c r="U88" s="15" t="n">
        <f aca="false">(B88)</f>
        <v>15.65</v>
      </c>
      <c r="V88" s="15" t="n">
        <f aca="false">(C88)</f>
        <v>8.155</v>
      </c>
      <c r="W88" s="15" t="n">
        <f aca="false">(D88)</f>
        <v>20.2375</v>
      </c>
      <c r="X88" s="15" t="n">
        <f aca="false">(E88)</f>
        <v>115.243333333333</v>
      </c>
      <c r="Y88" s="15" t="n">
        <f aca="false">AVERAGE(G88:L88)</f>
        <v>34.9907283333333</v>
      </c>
      <c r="Z88" s="15" t="n">
        <f aca="false">AVERAGE(M88:R88)</f>
        <v>31.1024583333333</v>
      </c>
      <c r="AA88" s="15" t="n">
        <f aca="false">AVERAGE(B88:E88,G88:R88)</f>
        <v>34.7403095833333</v>
      </c>
    </row>
    <row r="89" customFormat="false" ht="15.75" hidden="false" customHeight="false" outlineLevel="0" collapsed="false">
      <c r="A89" s="23" t="s">
        <v>25</v>
      </c>
      <c r="B89" s="24" t="n">
        <f aca="false">STDEV(B82:B85)</f>
        <v>9.71564717350316</v>
      </c>
      <c r="C89" s="24" t="n">
        <f aca="false">STDEV(C82:C85)</f>
        <v>2.59508188695463</v>
      </c>
      <c r="D89" s="24" t="n">
        <f aca="false">STDEV(D82:D87)</f>
        <v>11.7494180706961</v>
      </c>
      <c r="E89" s="24" t="n">
        <f aca="false">STDEV(E82:E87)</f>
        <v>83.0703724962556</v>
      </c>
      <c r="F89" s="24"/>
      <c r="G89" s="24" t="n">
        <f aca="false">STDEV(G82:G87)</f>
        <v>38.1008354545496</v>
      </c>
      <c r="H89" s="24" t="n">
        <f aca="false">STDEV(H82:H87)</f>
        <v>16.801443987993</v>
      </c>
      <c r="I89" s="24" t="n">
        <f aca="false">STDEV(I82:I87)</f>
        <v>12.2404591417152</v>
      </c>
      <c r="J89" s="24" t="n">
        <f aca="false">STDEV(J82:J87)</f>
        <v>7.49530263609594</v>
      </c>
      <c r="K89" s="24" t="n">
        <f aca="false">STDEV(K82:K87)</f>
        <v>42.0315719902551</v>
      </c>
      <c r="L89" s="24" t="n">
        <f aca="false">STDEV(L82:L87)</f>
        <v>23.3133785116329</v>
      </c>
      <c r="M89" s="24" t="n">
        <f aca="false">STDEV(M82:M85)</f>
        <v>9.56508581595935</v>
      </c>
      <c r="N89" s="24" t="n">
        <f aca="false">STDEV(N82:N85)</f>
        <v>6.79593327439286</v>
      </c>
      <c r="O89" s="24" t="n">
        <f aca="false">STDEV(O82:O85)</f>
        <v>9.6066677075092</v>
      </c>
      <c r="P89" s="24" t="n">
        <f aca="false">STDEV(P82:P85)</f>
        <v>7.27576251462118</v>
      </c>
      <c r="Q89" s="24" t="n">
        <f aca="false">STDEV(Q82:Q85)</f>
        <v>43.0034521113519</v>
      </c>
      <c r="R89" s="25" t="n">
        <f aca="false">STDEV(R82:R85)</f>
        <v>7.96337199662722</v>
      </c>
      <c r="S89" s="6"/>
      <c r="T89" s="14" t="s">
        <v>23</v>
      </c>
      <c r="U89" s="17" t="n">
        <f aca="false">AVERAGE(B89)</f>
        <v>9.71564717350316</v>
      </c>
      <c r="V89" s="17" t="n">
        <f aca="false">AVERAGE(C89)</f>
        <v>2.59508188695463</v>
      </c>
      <c r="W89" s="17" t="n">
        <f aca="false">AVERAGE(I89:S89)</f>
        <v>16.9290985700161</v>
      </c>
      <c r="X89" s="17" t="n">
        <f aca="false">(E89)</f>
        <v>83.0703724962556</v>
      </c>
      <c r="Y89" s="17" t="n">
        <f aca="false">AVERAGE(G89:L89)</f>
        <v>23.3304986203736</v>
      </c>
      <c r="Z89" s="17" t="n">
        <f aca="false">AVERAGE(M89:R89)</f>
        <v>14.0350455700769</v>
      </c>
      <c r="AA89" s="17" t="n">
        <f aca="false">AVERAGE(I89:S89)</f>
        <v>16.9290985700161</v>
      </c>
    </row>
    <row r="90" customFormat="false" ht="15.75" hidden="false" customHeight="false" outlineLevel="0" collapsed="false">
      <c r="A90" s="27" t="s">
        <v>24</v>
      </c>
      <c r="B90" s="28" t="n">
        <f aca="false">(B89/B88)</f>
        <v>0.620808126102439</v>
      </c>
      <c r="C90" s="28" t="n">
        <f aca="false">(C89/C88)</f>
        <v>0.318219728627177</v>
      </c>
      <c r="D90" s="28" t="n">
        <f aca="false">(D89/D88)</f>
        <v>0.580576556921364</v>
      </c>
      <c r="E90" s="28" t="n">
        <f aca="false">(E89/E88)</f>
        <v>0.720825839495464</v>
      </c>
      <c r="F90" s="29"/>
      <c r="G90" s="28" t="n">
        <f aca="false">(G89/G88)</f>
        <v>1.24480261504805</v>
      </c>
      <c r="H90" s="28" t="n">
        <f aca="false">(H89/H88)</f>
        <v>0.951255766048543</v>
      </c>
      <c r="I90" s="28" t="n">
        <f aca="false">(I89/I88)</f>
        <v>0.655621807269161</v>
      </c>
      <c r="J90" s="28" t="n">
        <f aca="false">(J89/J88)</f>
        <v>0.377666237956029</v>
      </c>
      <c r="K90" s="28" t="n">
        <f aca="false">(K89/K88)</f>
        <v>0.426415075864705</v>
      </c>
      <c r="L90" s="28" t="n">
        <f aca="false">(L89/L88)</f>
        <v>0.948158260170905</v>
      </c>
      <c r="M90" s="28" t="n">
        <f aca="false">(M89/M88)</f>
        <v>0.738616665325046</v>
      </c>
      <c r="N90" s="28" t="n">
        <f aca="false">(N89/N88)</f>
        <v>0.422744399134899</v>
      </c>
      <c r="O90" s="28" t="n">
        <f aca="false">(O89/O88)</f>
        <v>0.633458522099394</v>
      </c>
      <c r="P90" s="28" t="n">
        <f aca="false">(P89/P88)</f>
        <v>0.395797776128207</v>
      </c>
      <c r="Q90" s="28" t="n">
        <f aca="false">(Q89/Q88)</f>
        <v>0.42143637616696</v>
      </c>
      <c r="R90" s="30" t="n">
        <f aca="false">(R89/R88)</f>
        <v>0.361957469671727</v>
      </c>
      <c r="S90" s="6"/>
      <c r="T90" s="21" t="s">
        <v>24</v>
      </c>
      <c r="U90" s="22" t="n">
        <f aca="false">AVERAGE(B90)</f>
        <v>0.620808126102439</v>
      </c>
      <c r="V90" s="22" t="n">
        <f aca="false">AVERAGE(C90)</f>
        <v>0.318219728627177</v>
      </c>
      <c r="W90" s="22" t="n">
        <f aca="false">AVERAGE(I90:S90)</f>
        <v>0.538187258978704</v>
      </c>
      <c r="X90" s="22" t="n">
        <f aca="false">(E90)</f>
        <v>0.720825839495464</v>
      </c>
      <c r="Y90" s="22" t="n">
        <f aca="false">AVERAGE(G90:L90)</f>
        <v>0.767319960392899</v>
      </c>
      <c r="Z90" s="22" t="n">
        <f aca="false">AVERAGE(M90:R90)</f>
        <v>0.495668534754372</v>
      </c>
      <c r="AA90" s="22" t="n">
        <f aca="false">AVERAGE(I90:S90)</f>
        <v>0.538187258978704</v>
      </c>
    </row>
    <row r="91" customFormat="false" ht="15.75" hidden="false" customHeight="false" outlineLevel="0" collapsed="false">
      <c r="A91" s="6"/>
      <c r="D91" s="6"/>
      <c r="E91" s="6"/>
      <c r="F91" s="11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customFormat="false" ht="15.75" hidden="false" customHeight="false" outlineLevel="0" collapsed="false">
      <c r="A94" s="2"/>
      <c r="B94" s="51" t="s">
        <v>39</v>
      </c>
      <c r="C94" s="51"/>
      <c r="D94" s="2"/>
      <c r="E94" s="2"/>
      <c r="F94" s="2"/>
      <c r="G94" s="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customFormat="false" ht="15.75" hidden="false" customHeight="false" outlineLevel="0" collapsed="false">
      <c r="A95" s="2"/>
      <c r="B95" s="51" t="s">
        <v>40</v>
      </c>
      <c r="C95" s="51"/>
      <c r="D95" s="2"/>
      <c r="E95" s="2"/>
      <c r="F95" s="2"/>
      <c r="G95" s="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customFormat="false" ht="15.75" hidden="false" customHeight="fals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65">
    <mergeCell ref="A1:R1"/>
    <mergeCell ref="B2:B3"/>
    <mergeCell ref="C2:C3"/>
    <mergeCell ref="D2:D3"/>
    <mergeCell ref="E2:E3"/>
    <mergeCell ref="G2:L2"/>
    <mergeCell ref="M2:R2"/>
    <mergeCell ref="U6:X6"/>
    <mergeCell ref="Y6:Z6"/>
    <mergeCell ref="A14:R14"/>
    <mergeCell ref="B15:B16"/>
    <mergeCell ref="C15:C16"/>
    <mergeCell ref="D15:D16"/>
    <mergeCell ref="E15:E16"/>
    <mergeCell ref="G15:L15"/>
    <mergeCell ref="M15:R15"/>
    <mergeCell ref="U21:X21"/>
    <mergeCell ref="Y21:Z21"/>
    <mergeCell ref="A27:R27"/>
    <mergeCell ref="B28:B29"/>
    <mergeCell ref="C28:C29"/>
    <mergeCell ref="D28:D29"/>
    <mergeCell ref="E28:E29"/>
    <mergeCell ref="G28:L28"/>
    <mergeCell ref="M28:R28"/>
    <mergeCell ref="U34:X34"/>
    <mergeCell ref="Y34:Z34"/>
    <mergeCell ref="A40:R40"/>
    <mergeCell ref="B41:B42"/>
    <mergeCell ref="C41:C42"/>
    <mergeCell ref="D41:D42"/>
    <mergeCell ref="E41:E42"/>
    <mergeCell ref="G41:L41"/>
    <mergeCell ref="M41:R41"/>
    <mergeCell ref="U47:X47"/>
    <mergeCell ref="Y47:Z47"/>
    <mergeCell ref="A53:R53"/>
    <mergeCell ref="B54:B55"/>
    <mergeCell ref="C54:C55"/>
    <mergeCell ref="D54:D55"/>
    <mergeCell ref="E54:E55"/>
    <mergeCell ref="G54:L54"/>
    <mergeCell ref="M54:R54"/>
    <mergeCell ref="U60:X60"/>
    <mergeCell ref="Y60:Z60"/>
    <mergeCell ref="A66:Q66"/>
    <mergeCell ref="B67:B68"/>
    <mergeCell ref="C67:C68"/>
    <mergeCell ref="D67:D68"/>
    <mergeCell ref="E67:E68"/>
    <mergeCell ref="G67:L67"/>
    <mergeCell ref="M67:R67"/>
    <mergeCell ref="U73:X73"/>
    <mergeCell ref="Y73:Z73"/>
    <mergeCell ref="A79:R79"/>
    <mergeCell ref="B80:B81"/>
    <mergeCell ref="C80:C81"/>
    <mergeCell ref="D80:D81"/>
    <mergeCell ref="E80:E81"/>
    <mergeCell ref="G80:L80"/>
    <mergeCell ref="M80:R80"/>
    <mergeCell ref="U86:X86"/>
    <mergeCell ref="Y86:Z86"/>
    <mergeCell ref="B94:C94"/>
    <mergeCell ref="B95:C9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2026-08-24T17:02:41Z</dcterms:modified>
  <cp:revision>1</cp:revision>
  <dc:subject/>
  <dc:title/>
</cp:coreProperties>
</file>